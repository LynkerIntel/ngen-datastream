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Fedora\home\jlaser\code\CIROH\ngen-datastream\docs\"/>
    </mc:Choice>
  </mc:AlternateContent>
  <xr:revisionPtr revIDLastSave="0" documentId="13_ncr:1_{31F2CFA6-EDA5-42EC-BD23-8C28F52765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9_instance_test" sheetId="5" r:id="rId1"/>
    <sheet name="t4g.2xlarge_full" sheetId="2" r:id="rId2"/>
    <sheet name="t4g.2xlarge_lite" sheetId="4" r:id="rId3"/>
    <sheet name="t4g.xlarge_full" sheetId="3" r:id="rId4"/>
    <sheet name="x86 tests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R4" i="1" s="1"/>
  <c r="N4" i="1"/>
  <c r="M4" i="1"/>
  <c r="M5" i="1"/>
  <c r="P5" i="1" s="1"/>
  <c r="P3" i="1"/>
  <c r="R3" i="1"/>
  <c r="Q4" i="1" l="1"/>
  <c r="Q5" i="1"/>
  <c r="Q3" i="1"/>
  <c r="R5" i="1"/>
  <c r="N3" i="1"/>
  <c r="N5" i="1"/>
</calcChain>
</file>

<file path=xl/sharedStrings.xml><?xml version="1.0" encoding="utf-8"?>
<sst xmlns="http://schemas.openxmlformats.org/spreadsheetml/2006/main" count="832" uniqueCount="106">
  <si>
    <t>Provider</t>
  </si>
  <si>
    <t>Instance Type</t>
  </si>
  <si>
    <t>Cores</t>
  </si>
  <si>
    <t>Memory</t>
  </si>
  <si>
    <t>Hardware</t>
  </si>
  <si>
    <t>OS</t>
  </si>
  <si>
    <t>Cost/hr</t>
  </si>
  <si>
    <t>Daily Operating Cost</t>
  </si>
  <si>
    <t>Catchments</t>
  </si>
  <si>
    <t>Realization</t>
  </si>
  <si>
    <t>AWS</t>
  </si>
  <si>
    <t>t2.2xlarge</t>
  </si>
  <si>
    <t>x86</t>
  </si>
  <si>
    <t>AWS Linux 2023</t>
  </si>
  <si>
    <t>CFE, PET, SLOTH, NOM</t>
  </si>
  <si>
    <t>Total Runtime (minutes)</t>
  </si>
  <si>
    <t>Forcing Timesteps</t>
  </si>
  <si>
    <t>VPU 09</t>
  </si>
  <si>
    <t>c5n.18xlarge</t>
  </si>
  <si>
    <t>CONUS</t>
  </si>
  <si>
    <t>CFE, PET, SLOTH</t>
  </si>
  <si>
    <t>hpc6a.48xlarge</t>
  </si>
  <si>
    <t>Yearly Operating Cost CONUS</t>
  </si>
  <si>
    <t>CONUS equivalent concurrent vCPUs</t>
  </si>
  <si>
    <t>Catchments/core/timestep/second</t>
  </si>
  <si>
    <t>t4g.2xlarge</t>
  </si>
  <si>
    <t>Run ID</t>
  </si>
  <si>
    <t>Domain Name</t>
  </si>
  <si>
    <t>Cost/CONUS Timestep</t>
  </si>
  <si>
    <t>Memory (GB)</t>
  </si>
  <si>
    <t>GET_RESOURCES Yearly Cost</t>
  </si>
  <si>
    <t>DATASTREAMCONFGEN Yearly Cost</t>
  </si>
  <si>
    <t>FORCINGPROCESSOR Yearly Cost</t>
  </si>
  <si>
    <t>VALIDATION Yearly Cost</t>
  </si>
  <si>
    <t>NGEN Yearly Cost</t>
  </si>
  <si>
    <t>MERKLE Yearly Cost</t>
  </si>
  <si>
    <t>TAR Yearly Cost</t>
  </si>
  <si>
    <t>total_runtime Yearly Cost</t>
  </si>
  <si>
    <t>Yearly Operating Cost</t>
  </si>
  <si>
    <t>Daily Operating Cost/Timestep</t>
  </si>
  <si>
    <t>aarch64</t>
  </si>
  <si>
    <t>$0.2688</t>
  </si>
  <si>
    <t>nextgen_09</t>
  </si>
  <si>
    <t>nextgen_03S</t>
  </si>
  <si>
    <t>nextgen_06</t>
  </si>
  <si>
    <t>nextgen_01</t>
  </si>
  <si>
    <t>nextgen_13</t>
  </si>
  <si>
    <t>nextgen_03N</t>
  </si>
  <si>
    <t>nextgen_03W</t>
  </si>
  <si>
    <t>nextgen_08</t>
  </si>
  <si>
    <t>nextgen_14</t>
  </si>
  <si>
    <t>nextgen_02</t>
  </si>
  <si>
    <t>nextgen_16</t>
  </si>
  <si>
    <t>nextgen_04</t>
  </si>
  <si>
    <t>nextgen_12</t>
  </si>
  <si>
    <t>nextgen_15</t>
  </si>
  <si>
    <t>nextgen_18</t>
  </si>
  <si>
    <t>nextgen_05</t>
  </si>
  <si>
    <t>nextgen_10L</t>
  </si>
  <si>
    <t>nextgen_07</t>
  </si>
  <si>
    <t>nextgen_11</t>
  </si>
  <si>
    <t>nextgen_17</t>
  </si>
  <si>
    <t>nextgen_10U</t>
  </si>
  <si>
    <t>t4g.xlarge</t>
  </si>
  <si>
    <t>15.4</t>
  </si>
  <si>
    <t>Amazon Linux 2023.3.20240312</t>
  </si>
  <si>
    <t>$0.1344</t>
  </si>
  <si>
    <t>WEIGHTS Yearly Cost</t>
  </si>
  <si>
    <t>NGENCONFGEN Yearly Cost</t>
  </si>
  <si>
    <t>30.9</t>
  </si>
  <si>
    <t>m7g.2xlarge</t>
  </si>
  <si>
    <t>30.8</t>
  </si>
  <si>
    <t>GET_RESOURCES Cost</t>
  </si>
  <si>
    <t>DATASTREAMCONFGEN Cost</t>
  </si>
  <si>
    <t>NGENCONFGEN Cost</t>
  </si>
  <si>
    <t>GET_FORCINGS Cost</t>
  </si>
  <si>
    <t>VALIDATION Cost</t>
  </si>
  <si>
    <t>NGEN Cost</t>
  </si>
  <si>
    <t>MERKLE Cost</t>
  </si>
  <si>
    <t>TAR Cost</t>
  </si>
  <si>
    <t>total_runtime Cost</t>
  </si>
  <si>
    <t>Timesteps</t>
  </si>
  <si>
    <t>Catchments/core/second</t>
  </si>
  <si>
    <t>Run Cost</t>
  </si>
  <si>
    <t>Run Cost / Timestep</t>
  </si>
  <si>
    <t>$0.4911</t>
  </si>
  <si>
    <t>r7g.2xlarge</t>
  </si>
  <si>
    <t>61.7</t>
  </si>
  <si>
    <t>$0.4284</t>
  </si>
  <si>
    <t>r7g.4xlarge</t>
  </si>
  <si>
    <t>123.6</t>
  </si>
  <si>
    <t>$1.2286</t>
  </si>
  <si>
    <t>CONFIGURATION Cost</t>
  </si>
  <si>
    <t>READWEIGHTS Cost</t>
  </si>
  <si>
    <t>PROCESSING Cost</t>
  </si>
  <si>
    <t>FILEWRITING Cost</t>
  </si>
  <si>
    <t>METADATA Cost</t>
  </si>
  <si>
    <t>r7g.16xlarge</t>
  </si>
  <si>
    <t>0    0.002389
Name: duration_minutes, dtype: float64</t>
  </si>
  <si>
    <t>0    0.014331
Name: duration_minutes, dtype: float64</t>
  </si>
  <si>
    <t>0    3.89454
Name: duration_minutes, dtype: float64</t>
  </si>
  <si>
    <t>0    0.721344
Name: duration_minutes, dtype: float64</t>
  </si>
  <si>
    <t>0    0.574448
Name: duration_minutes, dtype: float64</t>
  </si>
  <si>
    <t>0    15.842095
Name: duration_minutes, dtype: float64</t>
  </si>
  <si>
    <t>0    21.049146
Name: duration_minutes, dtype: float64</t>
  </si>
  <si>
    <t>$4.2994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</si>
</sst>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CCCCC"/>
      <name val="Consolas"/>
      <family val="3"/>
    </font>
    <font>
      <b/>
      <sz val="11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164" fontId="0" fillId="35" borderId="0" xfId="0" applyNumberFormat="1" applyFill="1" applyAlignment="1">
      <alignment wrapText="1"/>
    </xf>
    <xf numFmtId="165" fontId="0" fillId="0" borderId="0" xfId="0" applyNumberFormat="1"/>
    <xf numFmtId="164" fontId="0" fillId="33" borderId="0" xfId="0" applyNumberFormat="1" applyFill="1" applyAlignment="1">
      <alignment wrapText="1"/>
    </xf>
    <xf numFmtId="1" fontId="0" fillId="0" borderId="0" xfId="0" applyNumberFormat="1"/>
    <xf numFmtId="0" fontId="19" fillId="0" borderId="0" xfId="0" applyFont="1" applyAlignment="1">
      <alignment vertical="center"/>
    </xf>
    <xf numFmtId="0" fontId="20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AF98F6-BB76-4E9E-AF0C-771C2BBC8B2F}" name="Table14" displayName="Table14" ref="A1:R5" totalsRowShown="0" headerRowDxfId="7">
  <autoFilter ref="A1:R5" xr:uid="{ADAF98F6-BB76-4E9E-AF0C-771C2BBC8B2F}"/>
  <tableColumns count="18">
    <tableColumn id="22" xr3:uid="{E24428CA-EC66-4C96-9613-3C7D38BDF702}" name="Run ID" dataDxfId="6"/>
    <tableColumn id="1" xr3:uid="{A8250827-7A04-4E34-9222-5E6C1E90F4E8}" name="Provider"/>
    <tableColumn id="2" xr3:uid="{65BA9021-A85A-42A3-907D-C72099B87351}" name="Instance Type"/>
    <tableColumn id="3" xr3:uid="{A812A76E-70CE-4F72-837C-A65053D60F2C}" name="Cores"/>
    <tableColumn id="4" xr3:uid="{2F57F8DB-4DAF-4D5C-B99F-E415A06EF0B7}" name="Memory"/>
    <tableColumn id="5" xr3:uid="{43F1234A-0778-4549-BD49-1B3424432D84}" name="Hardware"/>
    <tableColumn id="6" xr3:uid="{8851E05C-DFC2-44A4-9748-982C0101B63B}" name="OS"/>
    <tableColumn id="7" xr3:uid="{DF1BAA0A-7B9D-4D49-B39E-AE8856DA1F0C}" name="Cost/hr" dataDxfId="5"/>
    <tableColumn id="16" xr3:uid="{6506ACC3-8B4D-4DD9-BAC6-551D27A799A0}" name="Domain Name"/>
    <tableColumn id="8" xr3:uid="{1E0EE77A-7E5C-4236-AFDC-E7C29A4DB0D0}" name="Catchments"/>
    <tableColumn id="14" xr3:uid="{5A49623F-7F86-4E0B-AC71-4624D5D2ED48}" name="Realization"/>
    <tableColumn id="15" xr3:uid="{AFAAF69C-1E74-4C77-882A-D4538D6F38B7}" name="Forcing Timesteps"/>
    <tableColumn id="9" xr3:uid="{65A415AF-B3FF-4011-AA71-461DF809F431}" name="Total Runtime (minutes)"/>
    <tableColumn id="21" xr3:uid="{16AA6579-6DEA-4528-B81C-010F200DAA31}" name="Catchments/core/timestep/second" dataDxfId="4">
      <calculatedColumnFormula>Table14[[#This Row],[Catchments]]/Table14[[#This Row],[Cores]]/Table14[[#This Row],[Forcing Timesteps]]</calculatedColumnFormula>
    </tableColumn>
    <tableColumn id="19" xr3:uid="{81E0B339-1996-4471-B052-7E8093702892}" name="CONUS equivalent concurrent vCPUs" dataDxfId="3"/>
    <tableColumn id="10" xr3:uid="{7C080564-7AEC-4799-8A64-8D1948B76E91}" name="Daily Operating Cost" dataDxfId="2">
      <calculatedColumnFormula>Table14[[#This Row],[Cost/hr]]*Table14[[#This Row],[Total Runtime (minutes)]]/60</calculatedColumnFormula>
    </tableColumn>
    <tableColumn id="12" xr3:uid="{84A8CF7A-023F-489F-99C4-50EAA85436DB}" name="Cost/CONUS Timestep" dataDxfId="1">
      <calculatedColumnFormula>Table14[[#This Row],[Yearly Operating Cost CONUS]]/Table14[[#This Row],[Catchments]]/Table14[[#This Row],[Forcing Timesteps]]</calculatedColumnFormula>
    </tableColumn>
    <tableColumn id="11" xr3:uid="{A3E5D116-7568-4A63-96CC-6F5CE3DBBE68}" name="Yearly Operating Cost CONUS" dataDxfId="0">
      <calculatedColumnFormula>817573/Table14[[#This Row],[Catchments]]*Table14[[#This Row],[Daily Operating Cost]]*365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C91F-AA8B-495A-9843-A7C632F2C484}">
  <dimension ref="A1:Z23"/>
  <sheetViews>
    <sheetView tabSelected="1" workbookViewId="0">
      <selection activeCell="E29" sqref="E29"/>
    </sheetView>
  </sheetViews>
  <sheetFormatPr defaultRowHeight="15" x14ac:dyDescent="0.25"/>
  <cols>
    <col min="25" max="25" width="15.7109375" customWidth="1"/>
    <col min="26" max="26" width="29" customWidth="1"/>
  </cols>
  <sheetData>
    <row r="1" spans="1:26" x14ac:dyDescent="0.25">
      <c r="A1" s="10" t="s">
        <v>26</v>
      </c>
      <c r="B1" s="10" t="s">
        <v>0</v>
      </c>
      <c r="C1" s="10" t="s">
        <v>1</v>
      </c>
      <c r="D1" s="10" t="s">
        <v>2</v>
      </c>
      <c r="E1" s="10" t="s">
        <v>29</v>
      </c>
      <c r="F1" s="10" t="s">
        <v>4</v>
      </c>
      <c r="G1" s="10" t="s">
        <v>5</v>
      </c>
      <c r="H1" s="10" t="s">
        <v>72</v>
      </c>
      <c r="I1" s="10" t="s">
        <v>73</v>
      </c>
      <c r="J1" s="10" t="s">
        <v>74</v>
      </c>
      <c r="K1" s="10" t="s">
        <v>75</v>
      </c>
      <c r="L1" s="10" t="s">
        <v>76</v>
      </c>
      <c r="M1" s="10" t="s">
        <v>77</v>
      </c>
      <c r="N1" s="10" t="s">
        <v>78</v>
      </c>
      <c r="O1" s="10" t="s">
        <v>79</v>
      </c>
      <c r="P1" s="10" t="s">
        <v>80</v>
      </c>
      <c r="Q1" s="10" t="s">
        <v>6</v>
      </c>
      <c r="R1" s="10" t="s">
        <v>27</v>
      </c>
      <c r="S1" s="10" t="s">
        <v>8</v>
      </c>
      <c r="T1" s="10" t="s">
        <v>81</v>
      </c>
      <c r="U1" s="10" t="s">
        <v>9</v>
      </c>
      <c r="V1" s="10" t="s">
        <v>15</v>
      </c>
      <c r="W1" s="10" t="s">
        <v>82</v>
      </c>
      <c r="X1" s="10" t="s">
        <v>23</v>
      </c>
      <c r="Y1" s="10" t="s">
        <v>83</v>
      </c>
      <c r="Z1" s="10" t="s">
        <v>84</v>
      </c>
    </row>
    <row r="2" spans="1:26" x14ac:dyDescent="0.25">
      <c r="A2" s="10">
        <v>1067</v>
      </c>
      <c r="B2" t="s">
        <v>10</v>
      </c>
      <c r="C2" t="s">
        <v>70</v>
      </c>
      <c r="D2">
        <v>8</v>
      </c>
      <c r="E2" t="s">
        <v>71</v>
      </c>
      <c r="F2" t="s">
        <v>40</v>
      </c>
      <c r="G2" t="s">
        <v>65</v>
      </c>
      <c r="H2">
        <v>6.8208333333333326E-4</v>
      </c>
      <c r="I2">
        <v>5.1838333333333328E-3</v>
      </c>
      <c r="J2">
        <v>2.0462499999999999E-3</v>
      </c>
      <c r="K2">
        <v>1.377808333333333E-2</v>
      </c>
      <c r="L2">
        <v>7.2300833333333332E-3</v>
      </c>
      <c r="M2">
        <v>0.72450891666666661</v>
      </c>
      <c r="N2">
        <v>2.0462500000000002E-2</v>
      </c>
      <c r="O2">
        <v>1.5415083333333329E-2</v>
      </c>
      <c r="P2">
        <v>0.78930683333333329</v>
      </c>
      <c r="Q2" t="s">
        <v>85</v>
      </c>
      <c r="R2" t="s">
        <v>42</v>
      </c>
      <c r="S2">
        <v>10999</v>
      </c>
      <c r="T2">
        <v>7080</v>
      </c>
      <c r="U2" t="s">
        <v>14</v>
      </c>
      <c r="V2">
        <v>96.433333333333337</v>
      </c>
      <c r="W2">
        <v>855.43553404770125</v>
      </c>
      <c r="X2">
        <v>168</v>
      </c>
      <c r="Y2">
        <v>0.7893068333333334</v>
      </c>
      <c r="Z2">
        <v>1.1148401600753301E-4</v>
      </c>
    </row>
    <row r="3" spans="1:26" x14ac:dyDescent="0.25">
      <c r="A3" s="10">
        <v>1068</v>
      </c>
      <c r="B3" t="s">
        <v>10</v>
      </c>
      <c r="C3" t="s">
        <v>70</v>
      </c>
      <c r="D3">
        <v>8</v>
      </c>
      <c r="E3" t="s">
        <v>71</v>
      </c>
      <c r="F3" t="s">
        <v>40</v>
      </c>
      <c r="G3" t="s">
        <v>65</v>
      </c>
      <c r="H3">
        <v>8.185E-4</v>
      </c>
      <c r="I3">
        <v>1.0367666666666671E-2</v>
      </c>
      <c r="J3">
        <v>3.819666666666667E-3</v>
      </c>
      <c r="K3">
        <v>2.1963083333333331E-2</v>
      </c>
      <c r="L3">
        <v>3.0011666666666659E-3</v>
      </c>
      <c r="M3">
        <v>0.91862983333333337</v>
      </c>
      <c r="N3">
        <v>2.673766666666667E-2</v>
      </c>
      <c r="O3">
        <v>2.1826666666666661E-2</v>
      </c>
      <c r="P3">
        <v>1.00716425</v>
      </c>
      <c r="Q3" t="s">
        <v>85</v>
      </c>
      <c r="R3" t="s">
        <v>43</v>
      </c>
      <c r="S3">
        <v>13758</v>
      </c>
      <c r="T3">
        <v>7080</v>
      </c>
      <c r="U3" t="s">
        <v>14</v>
      </c>
      <c r="V3">
        <v>123.05</v>
      </c>
      <c r="W3">
        <v>838.56156034132471</v>
      </c>
      <c r="X3">
        <v>168</v>
      </c>
      <c r="Y3">
        <v>1.00716425</v>
      </c>
      <c r="Z3">
        <v>1.422548375706215E-4</v>
      </c>
    </row>
    <row r="4" spans="1:26" x14ac:dyDescent="0.25">
      <c r="A4" s="10">
        <v>1069</v>
      </c>
      <c r="B4" t="s">
        <v>10</v>
      </c>
      <c r="C4" t="s">
        <v>70</v>
      </c>
      <c r="D4">
        <v>8</v>
      </c>
      <c r="E4" t="s">
        <v>71</v>
      </c>
      <c r="F4" t="s">
        <v>40</v>
      </c>
      <c r="G4" t="s">
        <v>65</v>
      </c>
      <c r="H4">
        <v>6.8208333333333326E-4</v>
      </c>
      <c r="I4">
        <v>5.3202499999999986E-3</v>
      </c>
      <c r="J4">
        <v>3.819666666666667E-3</v>
      </c>
      <c r="K4">
        <v>2.2099500000000001E-2</v>
      </c>
      <c r="L4">
        <v>2.8647500000000001E-3</v>
      </c>
      <c r="M4">
        <v>0.90580666666666665</v>
      </c>
      <c r="N4">
        <v>2.4691416666666671E-2</v>
      </c>
      <c r="O4">
        <v>2.1963083333333331E-2</v>
      </c>
      <c r="P4">
        <v>0.9872474166666666</v>
      </c>
      <c r="Q4" t="s">
        <v>85</v>
      </c>
      <c r="R4" t="s">
        <v>44</v>
      </c>
      <c r="S4">
        <v>13888</v>
      </c>
      <c r="T4">
        <v>7080</v>
      </c>
      <c r="U4" t="s">
        <v>14</v>
      </c>
      <c r="V4">
        <v>120.6166666666667</v>
      </c>
      <c r="W4">
        <v>863.56224955091898</v>
      </c>
      <c r="X4">
        <v>168</v>
      </c>
      <c r="Y4">
        <v>0.9872474166666666</v>
      </c>
      <c r="Z4">
        <v>1.394417255178908E-4</v>
      </c>
    </row>
    <row r="5" spans="1:26" x14ac:dyDescent="0.25">
      <c r="A5" s="10">
        <v>1070</v>
      </c>
      <c r="B5" t="s">
        <v>10</v>
      </c>
      <c r="C5" t="s">
        <v>86</v>
      </c>
      <c r="D5">
        <v>8</v>
      </c>
      <c r="E5" t="s">
        <v>87</v>
      </c>
      <c r="F5" t="s">
        <v>40</v>
      </c>
      <c r="G5" t="s">
        <v>65</v>
      </c>
      <c r="H5">
        <v>7.1400000000000001E-4</v>
      </c>
      <c r="I5">
        <v>9.2820000000000003E-3</v>
      </c>
      <c r="J5">
        <v>3.5699999999999998E-3</v>
      </c>
      <c r="K5">
        <v>1.9754000000000001E-2</v>
      </c>
      <c r="L5">
        <v>8.8060000000000013E-3</v>
      </c>
      <c r="M5">
        <v>1.1246689999999999</v>
      </c>
      <c r="N5">
        <v>3.0582999999999999E-2</v>
      </c>
      <c r="O5">
        <v>2.6061000000000001E-2</v>
      </c>
      <c r="P5">
        <v>1.2234389999999999</v>
      </c>
      <c r="Q5" t="s">
        <v>88</v>
      </c>
      <c r="R5" t="s">
        <v>45</v>
      </c>
      <c r="S5">
        <v>19194</v>
      </c>
      <c r="T5">
        <v>7080</v>
      </c>
      <c r="U5" t="s">
        <v>14</v>
      </c>
      <c r="V5">
        <v>171.35</v>
      </c>
      <c r="W5">
        <v>840.12255617157859</v>
      </c>
      <c r="X5">
        <v>168</v>
      </c>
      <c r="Y5">
        <v>1.2234389999999999</v>
      </c>
      <c r="Z5">
        <v>1.728021186440678E-4</v>
      </c>
    </row>
    <row r="6" spans="1:26" x14ac:dyDescent="0.25">
      <c r="A6" s="10">
        <v>1071</v>
      </c>
      <c r="B6" t="s">
        <v>10</v>
      </c>
      <c r="C6" t="s">
        <v>86</v>
      </c>
      <c r="D6">
        <v>8</v>
      </c>
      <c r="E6" t="s">
        <v>87</v>
      </c>
      <c r="F6" t="s">
        <v>40</v>
      </c>
      <c r="G6" t="s">
        <v>65</v>
      </c>
      <c r="H6">
        <v>7.1400000000000001E-4</v>
      </c>
      <c r="I6">
        <v>4.6410000000000002E-3</v>
      </c>
      <c r="J6">
        <v>2.0230000000000001E-3</v>
      </c>
      <c r="K6">
        <v>1.8445E-2</v>
      </c>
      <c r="L6">
        <v>4.9979999999999998E-3</v>
      </c>
      <c r="M6">
        <v>1.73502</v>
      </c>
      <c r="N6">
        <v>4.6529000000000001E-2</v>
      </c>
      <c r="O6">
        <v>3.2962999999999999E-2</v>
      </c>
      <c r="P6">
        <v>1.8453329999999999</v>
      </c>
      <c r="Q6" t="s">
        <v>88</v>
      </c>
      <c r="R6" t="s">
        <v>46</v>
      </c>
      <c r="S6">
        <v>25482</v>
      </c>
      <c r="T6">
        <v>7080</v>
      </c>
      <c r="U6" t="s">
        <v>14</v>
      </c>
      <c r="V6">
        <v>258.45</v>
      </c>
      <c r="W6">
        <v>739.4660475914103</v>
      </c>
      <c r="X6">
        <v>168</v>
      </c>
      <c r="Y6">
        <v>1.8453329999999999</v>
      </c>
      <c r="Z6">
        <v>2.6064025423728809E-4</v>
      </c>
    </row>
    <row r="7" spans="1:26" x14ac:dyDescent="0.25">
      <c r="A7" s="10">
        <v>1072</v>
      </c>
      <c r="B7" t="s">
        <v>10</v>
      </c>
      <c r="C7" t="s">
        <v>86</v>
      </c>
      <c r="D7">
        <v>8</v>
      </c>
      <c r="E7" t="s">
        <v>87</v>
      </c>
      <c r="F7" t="s">
        <v>40</v>
      </c>
      <c r="G7" t="s">
        <v>65</v>
      </c>
      <c r="H7">
        <v>7.1400000000000001E-4</v>
      </c>
      <c r="I7">
        <v>8.6869999999999985E-3</v>
      </c>
      <c r="J7">
        <v>3.3319999999999999E-3</v>
      </c>
      <c r="K7">
        <v>2.6537000000000002E-2</v>
      </c>
      <c r="L7">
        <v>5.3550000000000004E-3</v>
      </c>
      <c r="M7">
        <v>1.703247</v>
      </c>
      <c r="N7">
        <v>5.6286999999999997E-2</v>
      </c>
      <c r="O7">
        <v>4.2007000000000003E-2</v>
      </c>
      <c r="P7">
        <v>1.846166</v>
      </c>
      <c r="Q7" t="s">
        <v>88</v>
      </c>
      <c r="R7" t="s">
        <v>47</v>
      </c>
      <c r="S7">
        <v>30052</v>
      </c>
      <c r="T7">
        <v>7080</v>
      </c>
      <c r="U7" t="s">
        <v>14</v>
      </c>
      <c r="V7">
        <v>258.56666666666672</v>
      </c>
      <c r="W7">
        <v>871.69008637359809</v>
      </c>
      <c r="X7">
        <v>168</v>
      </c>
      <c r="Y7">
        <v>1.846166</v>
      </c>
      <c r="Z7">
        <v>2.6075790960451971E-4</v>
      </c>
    </row>
    <row r="8" spans="1:26" x14ac:dyDescent="0.25">
      <c r="A8" s="10">
        <v>1073</v>
      </c>
      <c r="B8" t="s">
        <v>10</v>
      </c>
      <c r="C8" t="s">
        <v>86</v>
      </c>
      <c r="D8">
        <v>8</v>
      </c>
      <c r="E8" t="s">
        <v>87</v>
      </c>
      <c r="F8" t="s">
        <v>40</v>
      </c>
      <c r="G8" t="s">
        <v>65</v>
      </c>
      <c r="H8">
        <v>7.1400000000000001E-4</v>
      </c>
      <c r="I8">
        <v>8.6869999999999985E-3</v>
      </c>
      <c r="J8">
        <v>3.3319999999999999E-3</v>
      </c>
      <c r="K8">
        <v>2.6537000000000002E-2</v>
      </c>
      <c r="L8">
        <v>5.3550000000000004E-3</v>
      </c>
      <c r="M8">
        <v>1.725976</v>
      </c>
      <c r="N8">
        <v>5.6405999999999998E-2</v>
      </c>
      <c r="O8">
        <v>3.9983999999999999E-2</v>
      </c>
      <c r="P8">
        <v>1.8669910000000001</v>
      </c>
      <c r="Q8" t="s">
        <v>88</v>
      </c>
      <c r="R8" t="s">
        <v>48</v>
      </c>
      <c r="S8">
        <v>30199</v>
      </c>
      <c r="T8">
        <v>7080</v>
      </c>
      <c r="U8" t="s">
        <v>14</v>
      </c>
      <c r="V8">
        <v>261.48333333333329</v>
      </c>
      <c r="W8">
        <v>866.18331314934028</v>
      </c>
      <c r="X8">
        <v>168</v>
      </c>
      <c r="Y8">
        <v>1.8669910000000001</v>
      </c>
      <c r="Z8">
        <v>2.6369929378531069E-4</v>
      </c>
    </row>
    <row r="9" spans="1:26" x14ac:dyDescent="0.25">
      <c r="A9" s="10">
        <v>1074</v>
      </c>
      <c r="B9" t="s">
        <v>10</v>
      </c>
      <c r="C9" t="s">
        <v>89</v>
      </c>
      <c r="D9">
        <v>16</v>
      </c>
      <c r="E9" t="s">
        <v>90</v>
      </c>
      <c r="F9" t="s">
        <v>40</v>
      </c>
      <c r="G9" t="s">
        <v>65</v>
      </c>
      <c r="H9">
        <v>1.706388888888889E-3</v>
      </c>
      <c r="I9">
        <v>1.7063888888888889E-2</v>
      </c>
      <c r="J9">
        <v>1.023833333333333E-2</v>
      </c>
      <c r="K9">
        <v>5.4945722222222208E-2</v>
      </c>
      <c r="L9">
        <v>4.0612055555555547E-2</v>
      </c>
      <c r="M9">
        <v>2.473922611111111</v>
      </c>
      <c r="N9">
        <v>0.1225187222222222</v>
      </c>
      <c r="O9">
        <v>5.7675944444444453E-2</v>
      </c>
      <c r="P9">
        <v>2.7786836666666659</v>
      </c>
      <c r="Q9" t="s">
        <v>91</v>
      </c>
      <c r="R9" t="s">
        <v>49</v>
      </c>
      <c r="S9">
        <v>32532</v>
      </c>
      <c r="T9">
        <v>7080</v>
      </c>
      <c r="U9" t="s">
        <v>14</v>
      </c>
      <c r="V9">
        <v>135.69999999999999</v>
      </c>
      <c r="W9">
        <v>899.00515843773042</v>
      </c>
      <c r="X9">
        <v>336</v>
      </c>
      <c r="Y9">
        <v>2.7786836666666659</v>
      </c>
      <c r="Z9">
        <v>3.9246944444444441E-4</v>
      </c>
    </row>
    <row r="10" spans="1:26" x14ac:dyDescent="0.25">
      <c r="A10" s="10">
        <v>1075</v>
      </c>
      <c r="B10" t="s">
        <v>10</v>
      </c>
      <c r="C10" t="s">
        <v>89</v>
      </c>
      <c r="D10">
        <v>16</v>
      </c>
      <c r="E10" t="s">
        <v>90</v>
      </c>
      <c r="F10" t="s">
        <v>40</v>
      </c>
      <c r="G10" t="s">
        <v>65</v>
      </c>
      <c r="H10">
        <v>2.0476666666666668E-3</v>
      </c>
      <c r="I10">
        <v>1.365111111111111E-2</v>
      </c>
      <c r="J10">
        <v>6.1429999999999992E-3</v>
      </c>
      <c r="K10">
        <v>3.8564388888888877E-2</v>
      </c>
      <c r="L10">
        <v>4.675505555555555E-2</v>
      </c>
      <c r="M10">
        <v>2.468462166666666</v>
      </c>
      <c r="N10">
        <v>0.12422511111111111</v>
      </c>
      <c r="O10">
        <v>5.6993388888888878E-2</v>
      </c>
      <c r="P10">
        <v>2.7568418888888879</v>
      </c>
      <c r="Q10" t="s">
        <v>91</v>
      </c>
      <c r="R10" t="s">
        <v>50</v>
      </c>
      <c r="S10">
        <v>32760</v>
      </c>
      <c r="T10">
        <v>7080</v>
      </c>
      <c r="U10" t="s">
        <v>14</v>
      </c>
      <c r="V10">
        <v>134.6333333333333</v>
      </c>
      <c r="W10">
        <v>912.47833622183714</v>
      </c>
      <c r="X10">
        <v>336</v>
      </c>
      <c r="Y10">
        <v>2.7568418888888888</v>
      </c>
      <c r="Z10">
        <v>3.8938444758317641E-4</v>
      </c>
    </row>
    <row r="11" spans="1:26" x14ac:dyDescent="0.25">
      <c r="A11" s="10">
        <v>1076</v>
      </c>
      <c r="B11" t="s">
        <v>10</v>
      </c>
      <c r="C11" t="s">
        <v>89</v>
      </c>
      <c r="D11">
        <v>16</v>
      </c>
      <c r="E11" t="s">
        <v>90</v>
      </c>
      <c r="F11" t="s">
        <v>40</v>
      </c>
      <c r="G11" t="s">
        <v>65</v>
      </c>
      <c r="H11">
        <v>2.388944444444444E-3</v>
      </c>
      <c r="I11">
        <v>2.4230722222222219E-2</v>
      </c>
      <c r="J11">
        <v>9.8970555555555548E-3</v>
      </c>
      <c r="K11">
        <v>6.2795111111111107E-2</v>
      </c>
      <c r="L11">
        <v>3.3445222222222223E-2</v>
      </c>
      <c r="M11">
        <v>2.479724333333333</v>
      </c>
      <c r="N11">
        <v>0.1317332222222222</v>
      </c>
      <c r="O11">
        <v>6.2453833333333333E-2</v>
      </c>
      <c r="P11">
        <v>2.806668444444445</v>
      </c>
      <c r="Q11" t="s">
        <v>91</v>
      </c>
      <c r="R11" t="s">
        <v>51</v>
      </c>
      <c r="S11">
        <v>33779</v>
      </c>
      <c r="T11">
        <v>7080</v>
      </c>
      <c r="U11" t="s">
        <v>14</v>
      </c>
      <c r="V11">
        <v>137.06666666666669</v>
      </c>
      <c r="W11">
        <v>924.15795233463029</v>
      </c>
      <c r="X11">
        <v>336</v>
      </c>
      <c r="Y11">
        <v>2.806668444444445</v>
      </c>
      <c r="Z11">
        <v>3.9642209667294413E-4</v>
      </c>
    </row>
    <row r="12" spans="1:26" x14ac:dyDescent="0.25">
      <c r="A12" s="10">
        <v>1077</v>
      </c>
      <c r="B12" t="s">
        <v>10</v>
      </c>
      <c r="C12" t="s">
        <v>89</v>
      </c>
      <c r="D12">
        <v>16</v>
      </c>
      <c r="E12" t="s">
        <v>90</v>
      </c>
      <c r="F12" t="s">
        <v>40</v>
      </c>
      <c r="G12" t="s">
        <v>65</v>
      </c>
      <c r="H12">
        <v>2.0476666666666668E-3</v>
      </c>
      <c r="I12">
        <v>1.330983333333333E-2</v>
      </c>
      <c r="J12">
        <v>7.1668333333333323E-3</v>
      </c>
      <c r="K12">
        <v>3.8905666666666658E-2</v>
      </c>
      <c r="L12">
        <v>3.9929499999999993E-2</v>
      </c>
      <c r="M12">
        <v>2.4193181666666659</v>
      </c>
      <c r="N12">
        <v>0.1259315</v>
      </c>
      <c r="O12">
        <v>5.6652111111111098E-2</v>
      </c>
      <c r="P12">
        <v>2.703261277777778</v>
      </c>
      <c r="Q12" t="s">
        <v>91</v>
      </c>
      <c r="R12" t="s">
        <v>52</v>
      </c>
      <c r="S12">
        <v>34201</v>
      </c>
      <c r="T12">
        <v>7080</v>
      </c>
      <c r="U12" t="s">
        <v>14</v>
      </c>
      <c r="V12">
        <v>132.01666666666671</v>
      </c>
      <c r="W12">
        <v>971.49665446282029</v>
      </c>
      <c r="X12">
        <v>336</v>
      </c>
      <c r="Y12">
        <v>2.703261277777778</v>
      </c>
      <c r="Z12">
        <v>3.8181656465787823E-4</v>
      </c>
    </row>
    <row r="13" spans="1:26" x14ac:dyDescent="0.25">
      <c r="A13" s="10">
        <v>1078</v>
      </c>
      <c r="B13" t="s">
        <v>10</v>
      </c>
      <c r="C13" t="s">
        <v>89</v>
      </c>
      <c r="D13">
        <v>16</v>
      </c>
      <c r="E13" t="s">
        <v>90</v>
      </c>
      <c r="F13" t="s">
        <v>40</v>
      </c>
      <c r="G13" t="s">
        <v>65</v>
      </c>
      <c r="H13">
        <v>2.388944444444444E-3</v>
      </c>
      <c r="I13">
        <v>2.4230722222222219E-2</v>
      </c>
      <c r="J13">
        <v>1.023833333333333E-2</v>
      </c>
      <c r="K13">
        <v>6.5184055555555551E-2</v>
      </c>
      <c r="L13">
        <v>3.2080111111111108E-2</v>
      </c>
      <c r="M13">
        <v>2.611457555555555</v>
      </c>
      <c r="N13">
        <v>0.1399238888888889</v>
      </c>
      <c r="O13">
        <v>6.4501500000000003E-2</v>
      </c>
      <c r="P13">
        <v>2.950005111111111</v>
      </c>
      <c r="Q13" t="s">
        <v>91</v>
      </c>
      <c r="R13" t="s">
        <v>53</v>
      </c>
      <c r="S13">
        <v>34641</v>
      </c>
      <c r="T13">
        <v>7080</v>
      </c>
      <c r="U13" t="s">
        <v>14</v>
      </c>
      <c r="V13">
        <v>144.06666666666669</v>
      </c>
      <c r="W13">
        <v>901.69192503470617</v>
      </c>
      <c r="X13">
        <v>336</v>
      </c>
      <c r="Y13">
        <v>2.950005111111111</v>
      </c>
      <c r="Z13">
        <v>4.1666738857501571E-4</v>
      </c>
    </row>
    <row r="14" spans="1:26" x14ac:dyDescent="0.25">
      <c r="A14" s="10">
        <v>1079</v>
      </c>
      <c r="B14" t="s">
        <v>10</v>
      </c>
      <c r="C14" t="s">
        <v>89</v>
      </c>
      <c r="D14">
        <v>16</v>
      </c>
      <c r="E14" t="s">
        <v>90</v>
      </c>
      <c r="F14" t="s">
        <v>40</v>
      </c>
      <c r="G14" t="s">
        <v>65</v>
      </c>
      <c r="H14">
        <v>2.0476666666666668E-3</v>
      </c>
      <c r="I14">
        <v>1.467494444444444E-2</v>
      </c>
      <c r="J14">
        <v>6.4842777777777772E-3</v>
      </c>
      <c r="K14">
        <v>5.8017222222222227E-2</v>
      </c>
      <c r="L14">
        <v>3.2421388888888882E-2</v>
      </c>
      <c r="M14">
        <v>3.242821444444445</v>
      </c>
      <c r="N14">
        <v>0.14197155555555549</v>
      </c>
      <c r="O14">
        <v>6.3136388888888895E-2</v>
      </c>
      <c r="P14">
        <v>3.561574888888889</v>
      </c>
      <c r="Q14" t="s">
        <v>91</v>
      </c>
      <c r="R14" t="s">
        <v>54</v>
      </c>
      <c r="S14">
        <v>36413</v>
      </c>
      <c r="T14">
        <v>7080</v>
      </c>
      <c r="U14" t="s">
        <v>14</v>
      </c>
      <c r="V14">
        <v>173.93333333333331</v>
      </c>
      <c r="W14">
        <v>785.0637217324645</v>
      </c>
      <c r="X14">
        <v>336</v>
      </c>
      <c r="Y14">
        <v>3.561574888888889</v>
      </c>
      <c r="Z14">
        <v>5.0304730069052105E-4</v>
      </c>
    </row>
    <row r="15" spans="1:26" x14ac:dyDescent="0.25">
      <c r="A15" s="10">
        <v>1080</v>
      </c>
      <c r="B15" t="s">
        <v>10</v>
      </c>
      <c r="C15" t="s">
        <v>89</v>
      </c>
      <c r="D15">
        <v>16</v>
      </c>
      <c r="E15" t="s">
        <v>90</v>
      </c>
      <c r="F15" t="s">
        <v>40</v>
      </c>
      <c r="G15" t="s">
        <v>65</v>
      </c>
      <c r="H15">
        <v>2.730222222222222E-3</v>
      </c>
      <c r="I15">
        <v>1.569877777777778E-2</v>
      </c>
      <c r="J15">
        <v>6.8255555555555552E-3</v>
      </c>
      <c r="K15">
        <v>5.2215499999999991E-2</v>
      </c>
      <c r="L15">
        <v>3.3445222222222223E-2</v>
      </c>
      <c r="M15">
        <v>3.3025450555555551</v>
      </c>
      <c r="N15">
        <v>0.16756738888888889</v>
      </c>
      <c r="O15">
        <v>6.8596833333333329E-2</v>
      </c>
      <c r="P15">
        <v>3.6496245555555551</v>
      </c>
      <c r="Q15" t="s">
        <v>91</v>
      </c>
      <c r="R15" t="s">
        <v>55</v>
      </c>
      <c r="S15">
        <v>39578</v>
      </c>
      <c r="T15">
        <v>7080</v>
      </c>
      <c r="U15" t="s">
        <v>14</v>
      </c>
      <c r="V15">
        <v>178.23333333333329</v>
      </c>
      <c r="W15">
        <v>832.71460632130174</v>
      </c>
      <c r="X15">
        <v>336</v>
      </c>
      <c r="Y15">
        <v>3.6496245555555551</v>
      </c>
      <c r="Z15">
        <v>5.1548369428750776E-4</v>
      </c>
    </row>
    <row r="16" spans="1:26" x14ac:dyDescent="0.25">
      <c r="A16" s="10">
        <v>1081</v>
      </c>
      <c r="B16" t="s">
        <v>10</v>
      </c>
      <c r="C16" t="s">
        <v>89</v>
      </c>
      <c r="D16">
        <v>16</v>
      </c>
      <c r="E16" t="s">
        <v>90</v>
      </c>
      <c r="F16" t="s">
        <v>40</v>
      </c>
      <c r="G16" t="s">
        <v>65</v>
      </c>
      <c r="H16">
        <v>2.0476666666666668E-3</v>
      </c>
      <c r="I16">
        <v>1.4333666666666659E-2</v>
      </c>
      <c r="J16">
        <v>6.8255555555555552E-3</v>
      </c>
      <c r="K16">
        <v>5.2215499999999991E-2</v>
      </c>
      <c r="L16">
        <v>3.1738833333333327E-2</v>
      </c>
      <c r="M16">
        <v>2.987886944444444</v>
      </c>
      <c r="N16">
        <v>0.1737103888888889</v>
      </c>
      <c r="O16">
        <v>6.6890444444444447E-2</v>
      </c>
      <c r="P16">
        <v>3.3356490000000001</v>
      </c>
      <c r="Q16" t="s">
        <v>91</v>
      </c>
      <c r="R16" t="s">
        <v>56</v>
      </c>
      <c r="S16">
        <v>40803</v>
      </c>
      <c r="T16">
        <v>7080</v>
      </c>
      <c r="U16" t="s">
        <v>14</v>
      </c>
      <c r="V16">
        <v>162.9</v>
      </c>
      <c r="W16">
        <v>939.2955801104971</v>
      </c>
      <c r="X16">
        <v>336</v>
      </c>
      <c r="Y16">
        <v>3.3356490000000001</v>
      </c>
      <c r="Z16">
        <v>4.711368644067797E-4</v>
      </c>
    </row>
    <row r="17" spans="1:26" x14ac:dyDescent="0.25">
      <c r="A17" s="10">
        <v>1082</v>
      </c>
      <c r="B17" t="s">
        <v>10</v>
      </c>
      <c r="C17" t="s">
        <v>89</v>
      </c>
      <c r="D17">
        <v>16</v>
      </c>
      <c r="E17" t="s">
        <v>90</v>
      </c>
      <c r="F17" t="s">
        <v>40</v>
      </c>
      <c r="G17" t="s">
        <v>65</v>
      </c>
      <c r="H17">
        <v>3.0715E-3</v>
      </c>
      <c r="I17">
        <v>3.1738833333333327E-2</v>
      </c>
      <c r="J17">
        <v>1.330983333333333E-2</v>
      </c>
      <c r="K17">
        <v>0.1034071666666667</v>
      </c>
      <c r="L17">
        <v>0.1010182222222222</v>
      </c>
      <c r="M17">
        <v>4.2731390555555553</v>
      </c>
      <c r="N17">
        <v>0.21363988888888891</v>
      </c>
      <c r="O17">
        <v>0.11535188888888891</v>
      </c>
      <c r="P17">
        <v>4.8546763888888886</v>
      </c>
      <c r="Q17" t="s">
        <v>91</v>
      </c>
      <c r="R17" t="s">
        <v>57</v>
      </c>
      <c r="S17">
        <v>51118</v>
      </c>
      <c r="T17">
        <v>7080</v>
      </c>
      <c r="U17" t="s">
        <v>14</v>
      </c>
      <c r="V17">
        <v>237.08333333333329</v>
      </c>
      <c r="W17">
        <v>808.54481546572936</v>
      </c>
      <c r="X17">
        <v>336</v>
      </c>
      <c r="Y17">
        <v>4.8546763888888886</v>
      </c>
      <c r="Z17">
        <v>6.8568875549278091E-4</v>
      </c>
    </row>
    <row r="18" spans="1:26" x14ac:dyDescent="0.25">
      <c r="A18" s="10">
        <v>1083</v>
      </c>
      <c r="B18" t="s">
        <v>10</v>
      </c>
      <c r="C18" t="s">
        <v>89</v>
      </c>
      <c r="D18">
        <v>16</v>
      </c>
      <c r="E18" t="s">
        <v>90</v>
      </c>
      <c r="F18" t="s">
        <v>40</v>
      </c>
      <c r="G18" t="s">
        <v>65</v>
      </c>
      <c r="H18">
        <v>2.388944444444444E-3</v>
      </c>
      <c r="I18">
        <v>1.569877777777778E-2</v>
      </c>
      <c r="J18">
        <v>8.8732222222222216E-3</v>
      </c>
      <c r="K18">
        <v>0.1146693333333333</v>
      </c>
      <c r="L18">
        <v>7.2350888888888881E-2</v>
      </c>
      <c r="M18">
        <v>4.8045085555555556</v>
      </c>
      <c r="N18">
        <v>0.2289973888888889</v>
      </c>
      <c r="O18">
        <v>0.13855877777777781</v>
      </c>
      <c r="P18">
        <v>5.3860458888888889</v>
      </c>
      <c r="Q18" t="s">
        <v>91</v>
      </c>
      <c r="R18" t="s">
        <v>58</v>
      </c>
      <c r="S18">
        <v>54688</v>
      </c>
      <c r="T18">
        <v>7080</v>
      </c>
      <c r="U18" t="s">
        <v>14</v>
      </c>
      <c r="V18">
        <v>263.03333333333342</v>
      </c>
      <c r="W18">
        <v>779.67304524141423</v>
      </c>
      <c r="X18">
        <v>336</v>
      </c>
      <c r="Y18">
        <v>5.3860458888888889</v>
      </c>
      <c r="Z18">
        <v>7.6074094475831768E-4</v>
      </c>
    </row>
    <row r="19" spans="1:26" x14ac:dyDescent="0.25">
      <c r="A19" s="10">
        <v>1084</v>
      </c>
      <c r="B19" t="s">
        <v>10</v>
      </c>
      <c r="C19" t="s">
        <v>89</v>
      </c>
      <c r="D19">
        <v>16</v>
      </c>
      <c r="E19" t="s">
        <v>90</v>
      </c>
      <c r="F19" t="s">
        <v>40</v>
      </c>
      <c r="G19" t="s">
        <v>65</v>
      </c>
      <c r="H19">
        <v>2.730222222222222E-3</v>
      </c>
      <c r="I19">
        <v>2.013538888888889E-2</v>
      </c>
      <c r="J19">
        <v>1.126216666666667E-2</v>
      </c>
      <c r="K19">
        <v>0.12900300000000001</v>
      </c>
      <c r="L19">
        <v>6.927938888888889E-2</v>
      </c>
      <c r="M19">
        <v>4.4185233888888886</v>
      </c>
      <c r="N19">
        <v>0.46038372222222218</v>
      </c>
      <c r="O19">
        <v>0.1545988333333333</v>
      </c>
      <c r="P19">
        <v>5.2659161111111112</v>
      </c>
      <c r="Q19" t="s">
        <v>91</v>
      </c>
      <c r="R19" t="s">
        <v>59</v>
      </c>
      <c r="S19">
        <v>56704</v>
      </c>
      <c r="T19">
        <v>7080</v>
      </c>
      <c r="U19" t="s">
        <v>14</v>
      </c>
      <c r="V19">
        <v>257.16666666666669</v>
      </c>
      <c r="W19">
        <v>826.85677252106279</v>
      </c>
      <c r="X19">
        <v>336</v>
      </c>
      <c r="Y19">
        <v>5.2659161111111112</v>
      </c>
      <c r="Z19">
        <v>7.4377346202134337E-4</v>
      </c>
    </row>
    <row r="20" spans="1:26" x14ac:dyDescent="0.25">
      <c r="A20" s="10">
        <v>1085</v>
      </c>
      <c r="B20" t="s">
        <v>10</v>
      </c>
      <c r="C20" t="s">
        <v>89</v>
      </c>
      <c r="D20">
        <v>16</v>
      </c>
      <c r="E20" t="s">
        <v>90</v>
      </c>
      <c r="F20" t="s">
        <v>40</v>
      </c>
      <c r="G20" t="s">
        <v>65</v>
      </c>
      <c r="H20">
        <v>3.0715E-3</v>
      </c>
      <c r="I20">
        <v>1.4333666666666659E-2</v>
      </c>
      <c r="J20">
        <v>7.5081111111111104E-3</v>
      </c>
      <c r="K20">
        <v>0.1685912222222222</v>
      </c>
      <c r="L20">
        <v>6.0747444444444437E-2</v>
      </c>
      <c r="M20">
        <v>7.643598388888889</v>
      </c>
      <c r="N20">
        <v>0.30510233333333331</v>
      </c>
      <c r="O20">
        <v>0.1958934444444444</v>
      </c>
      <c r="P20">
        <v>8.3988461111111103</v>
      </c>
      <c r="Q20" t="s">
        <v>91</v>
      </c>
      <c r="R20" t="s">
        <v>60</v>
      </c>
      <c r="S20">
        <v>62781</v>
      </c>
      <c r="T20">
        <v>7080</v>
      </c>
      <c r="U20" t="s">
        <v>14</v>
      </c>
      <c r="V20">
        <v>410.16666666666669</v>
      </c>
      <c r="W20">
        <v>573.9831369362048</v>
      </c>
      <c r="X20">
        <v>336</v>
      </c>
      <c r="Y20">
        <v>8.3988461111111103</v>
      </c>
      <c r="Z20">
        <v>1.1862776993094789E-3</v>
      </c>
    </row>
    <row r="22" spans="1:26" x14ac:dyDescent="0.25">
      <c r="A22" s="10" t="s">
        <v>26</v>
      </c>
      <c r="B22" s="10" t="s">
        <v>0</v>
      </c>
      <c r="C22" s="10" t="s">
        <v>1</v>
      </c>
      <c r="D22" s="10" t="s">
        <v>2</v>
      </c>
      <c r="E22" s="10" t="s">
        <v>29</v>
      </c>
      <c r="F22" s="10" t="s">
        <v>4</v>
      </c>
      <c r="G22" s="10" t="s">
        <v>5</v>
      </c>
      <c r="H22" s="10" t="s">
        <v>92</v>
      </c>
      <c r="I22" s="10" t="s">
        <v>93</v>
      </c>
      <c r="J22" s="10" t="s">
        <v>94</v>
      </c>
      <c r="K22" s="10" t="s">
        <v>95</v>
      </c>
      <c r="L22" s="10" t="s">
        <v>96</v>
      </c>
      <c r="M22" s="10" t="s">
        <v>79</v>
      </c>
      <c r="N22" s="10" t="s">
        <v>80</v>
      </c>
      <c r="O22" s="10" t="s">
        <v>6</v>
      </c>
      <c r="P22" s="10" t="s">
        <v>27</v>
      </c>
      <c r="Q22" s="10" t="s">
        <v>8</v>
      </c>
      <c r="R22" s="10" t="s">
        <v>81</v>
      </c>
      <c r="S22" s="10" t="s">
        <v>15</v>
      </c>
      <c r="T22" s="10" t="s">
        <v>82</v>
      </c>
      <c r="U22" s="10" t="s">
        <v>23</v>
      </c>
      <c r="V22" s="10" t="s">
        <v>83</v>
      </c>
      <c r="W22" s="10" t="s">
        <v>84</v>
      </c>
    </row>
    <row r="23" spans="1:26" x14ac:dyDescent="0.25">
      <c r="A23" s="10">
        <v>1089</v>
      </c>
      <c r="B23" t="s">
        <v>10</v>
      </c>
      <c r="C23" t="s">
        <v>97</v>
      </c>
      <c r="D23">
        <v>64</v>
      </c>
      <c r="E23">
        <v>512</v>
      </c>
      <c r="F23" t="s">
        <v>40</v>
      </c>
      <c r="G23" t="s">
        <v>65</v>
      </c>
      <c r="H23" t="s">
        <v>98</v>
      </c>
      <c r="I23" t="s">
        <v>99</v>
      </c>
      <c r="J23" t="s">
        <v>100</v>
      </c>
      <c r="K23" t="s">
        <v>101</v>
      </c>
      <c r="L23" t="s">
        <v>102</v>
      </c>
      <c r="M23" t="s">
        <v>103</v>
      </c>
      <c r="N23" t="s">
        <v>104</v>
      </c>
      <c r="O23" t="s">
        <v>105</v>
      </c>
      <c r="P23" t="s">
        <v>19</v>
      </c>
      <c r="Q23">
        <v>817573</v>
      </c>
      <c r="R23">
        <v>7080</v>
      </c>
      <c r="S23">
        <v>293.75</v>
      </c>
      <c r="T23">
        <v>801.45957446808518</v>
      </c>
      <c r="U23">
        <v>336</v>
      </c>
      <c r="V23">
        <v>21.049145833333331</v>
      </c>
      <c r="W23">
        <v>2.973043196798494E-3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8654-C346-47BC-A3AE-8C8416A81CD4}">
  <dimension ref="A1:AA22"/>
  <sheetViews>
    <sheetView workbookViewId="0">
      <selection activeCell="A2" sqref="A2:A22"/>
    </sheetView>
  </sheetViews>
  <sheetFormatPr defaultRowHeight="15" x14ac:dyDescent="0.25"/>
  <sheetData>
    <row r="1" spans="1:27" x14ac:dyDescent="0.25">
      <c r="A1" s="10" t="s">
        <v>26</v>
      </c>
      <c r="B1" s="10" t="s">
        <v>0</v>
      </c>
      <c r="C1" s="10" t="s">
        <v>1</v>
      </c>
      <c r="D1" s="10" t="s">
        <v>2</v>
      </c>
      <c r="E1" s="10" t="s">
        <v>29</v>
      </c>
      <c r="F1" s="10" t="s">
        <v>4</v>
      </c>
      <c r="G1" s="10" t="s">
        <v>5</v>
      </c>
      <c r="H1" s="10" t="s">
        <v>6</v>
      </c>
      <c r="I1" s="10" t="s">
        <v>27</v>
      </c>
      <c r="J1" s="10" t="s">
        <v>8</v>
      </c>
      <c r="K1" s="10" t="s">
        <v>9</v>
      </c>
      <c r="L1" s="10" t="s">
        <v>30</v>
      </c>
      <c r="M1" s="10" t="s">
        <v>67</v>
      </c>
      <c r="N1" s="10" t="s">
        <v>31</v>
      </c>
      <c r="O1" s="10" t="s">
        <v>68</v>
      </c>
      <c r="P1" s="10" t="s">
        <v>32</v>
      </c>
      <c r="Q1" s="10" t="s">
        <v>33</v>
      </c>
      <c r="R1" s="10" t="s">
        <v>34</v>
      </c>
      <c r="S1" s="10" t="s">
        <v>35</v>
      </c>
      <c r="T1" s="10" t="s">
        <v>36</v>
      </c>
      <c r="U1" s="10" t="s">
        <v>37</v>
      </c>
      <c r="V1" s="10" t="s">
        <v>15</v>
      </c>
      <c r="W1" s="10" t="s">
        <v>24</v>
      </c>
      <c r="X1" s="10" t="s">
        <v>23</v>
      </c>
      <c r="Y1" s="10" t="s">
        <v>7</v>
      </c>
      <c r="Z1" s="10" t="s">
        <v>38</v>
      </c>
      <c r="AA1" s="10" t="s">
        <v>39</v>
      </c>
    </row>
    <row r="2" spans="1:27" x14ac:dyDescent="0.25">
      <c r="A2" s="10">
        <v>1046</v>
      </c>
      <c r="B2" t="s">
        <v>10</v>
      </c>
      <c r="C2" t="s">
        <v>25</v>
      </c>
      <c r="D2">
        <v>8</v>
      </c>
      <c r="E2" t="s">
        <v>69</v>
      </c>
      <c r="F2" t="s">
        <v>40</v>
      </c>
      <c r="G2" t="s">
        <v>65</v>
      </c>
      <c r="H2" t="s">
        <v>41</v>
      </c>
      <c r="I2" t="s">
        <v>42</v>
      </c>
      <c r="J2">
        <v>10999</v>
      </c>
      <c r="K2" t="s">
        <v>14</v>
      </c>
      <c r="L2">
        <v>8.1759999999999999E-2</v>
      </c>
      <c r="M2">
        <v>2.6435733333333329</v>
      </c>
      <c r="N2">
        <v>5.4506666666666662E-2</v>
      </c>
      <c r="O2">
        <v>1.7714666666666661</v>
      </c>
      <c r="P2">
        <v>2.2347733333333339</v>
      </c>
      <c r="Q2">
        <v>5.4506666666666662E-2</v>
      </c>
      <c r="R2">
        <v>2.9706133333333331</v>
      </c>
      <c r="S2">
        <v>0.13626666666666659</v>
      </c>
      <c r="T2">
        <v>2.7253333333333331E-2</v>
      </c>
      <c r="U2">
        <v>9.9747199999999996</v>
      </c>
      <c r="V2">
        <v>6.1</v>
      </c>
      <c r="W2">
        <v>563.47336065573779</v>
      </c>
      <c r="X2">
        <v>168</v>
      </c>
      <c r="Y2">
        <v>2.7327999999999991E-2</v>
      </c>
      <c r="Z2">
        <v>9.9747199999999978</v>
      </c>
      <c r="AA2">
        <v>1.138666666666667E-3</v>
      </c>
    </row>
    <row r="3" spans="1:27" x14ac:dyDescent="0.25">
      <c r="A3" s="10">
        <v>1047</v>
      </c>
      <c r="B3" t="s">
        <v>10</v>
      </c>
      <c r="C3" t="s">
        <v>25</v>
      </c>
      <c r="D3">
        <v>8</v>
      </c>
      <c r="E3" t="s">
        <v>69</v>
      </c>
      <c r="F3" t="s">
        <v>40</v>
      </c>
      <c r="G3" t="s">
        <v>65</v>
      </c>
      <c r="H3" t="s">
        <v>41</v>
      </c>
      <c r="I3" t="s">
        <v>43</v>
      </c>
      <c r="J3">
        <v>13758</v>
      </c>
      <c r="K3" t="s">
        <v>14</v>
      </c>
      <c r="L3">
        <v>8.1759999999999999E-2</v>
      </c>
      <c r="M3">
        <v>3.6791999999999998</v>
      </c>
      <c r="N3">
        <v>0.1090133333333333</v>
      </c>
      <c r="O3">
        <v>2.452799999999999</v>
      </c>
      <c r="P3">
        <v>2.1257600000000001</v>
      </c>
      <c r="Q3">
        <v>8.1759999999999999E-2</v>
      </c>
      <c r="R3">
        <v>3.542933333333333</v>
      </c>
      <c r="S3">
        <v>0.1090133333333333</v>
      </c>
      <c r="T3">
        <v>5.4506666666666662E-2</v>
      </c>
      <c r="U3">
        <v>12.23674666666667</v>
      </c>
      <c r="V3">
        <v>7.4833333333333334</v>
      </c>
      <c r="W3">
        <v>574.52672605790644</v>
      </c>
      <c r="X3">
        <v>168</v>
      </c>
      <c r="Y3">
        <v>3.3525333333333331E-2</v>
      </c>
      <c r="Z3">
        <v>12.23674666666667</v>
      </c>
      <c r="AA3">
        <v>1.3968888888888889E-3</v>
      </c>
    </row>
    <row r="4" spans="1:27" x14ac:dyDescent="0.25">
      <c r="A4" s="10">
        <v>1048</v>
      </c>
      <c r="B4" t="s">
        <v>10</v>
      </c>
      <c r="C4" t="s">
        <v>25</v>
      </c>
      <c r="D4">
        <v>8</v>
      </c>
      <c r="E4" t="s">
        <v>69</v>
      </c>
      <c r="F4" t="s">
        <v>40</v>
      </c>
      <c r="G4" t="s">
        <v>65</v>
      </c>
      <c r="H4" t="s">
        <v>41</v>
      </c>
      <c r="I4" t="s">
        <v>44</v>
      </c>
      <c r="J4">
        <v>13888</v>
      </c>
      <c r="K4" t="s">
        <v>14</v>
      </c>
      <c r="L4">
        <v>8.1759999999999999E-2</v>
      </c>
      <c r="M4">
        <v>3.8699733333333328</v>
      </c>
      <c r="N4">
        <v>2.7253333333333331E-2</v>
      </c>
      <c r="O4">
        <v>1.9349866666666671</v>
      </c>
      <c r="P4">
        <v>1.6352</v>
      </c>
      <c r="Q4">
        <v>5.4506666666666662E-2</v>
      </c>
      <c r="R4">
        <v>3.3249066666666658</v>
      </c>
      <c r="S4">
        <v>0.1090133333333333</v>
      </c>
      <c r="T4">
        <v>5.4506666666666662E-2</v>
      </c>
      <c r="U4">
        <v>11.09210666666667</v>
      </c>
      <c r="V4">
        <v>6.7833333333333332</v>
      </c>
      <c r="W4">
        <v>639.8034398034398</v>
      </c>
      <c r="X4">
        <v>168</v>
      </c>
      <c r="Y4">
        <v>3.0389333333333331E-2</v>
      </c>
      <c r="Z4">
        <v>11.09210666666667</v>
      </c>
      <c r="AA4">
        <v>1.266222222222222E-3</v>
      </c>
    </row>
    <row r="5" spans="1:27" x14ac:dyDescent="0.25">
      <c r="A5" s="10">
        <v>1049</v>
      </c>
      <c r="B5" t="s">
        <v>10</v>
      </c>
      <c r="C5" t="s">
        <v>25</v>
      </c>
      <c r="D5">
        <v>8</v>
      </c>
      <c r="E5" t="s">
        <v>69</v>
      </c>
      <c r="F5" t="s">
        <v>40</v>
      </c>
      <c r="G5" t="s">
        <v>65</v>
      </c>
      <c r="H5" t="s">
        <v>41</v>
      </c>
      <c r="I5" t="s">
        <v>45</v>
      </c>
      <c r="J5">
        <v>19194</v>
      </c>
      <c r="K5" t="s">
        <v>14</v>
      </c>
      <c r="L5">
        <v>0.13626666666666659</v>
      </c>
      <c r="M5">
        <v>4.8510933333333339</v>
      </c>
      <c r="N5">
        <v>5.4506666666666662E-2</v>
      </c>
      <c r="O5">
        <v>2.69808</v>
      </c>
      <c r="P5">
        <v>1.880479999999999</v>
      </c>
      <c r="Q5">
        <v>0.1090133333333333</v>
      </c>
      <c r="R5">
        <v>4.8510933333333339</v>
      </c>
      <c r="S5">
        <v>0.1090133333333333</v>
      </c>
      <c r="T5">
        <v>8.1759999999999999E-2</v>
      </c>
      <c r="U5">
        <v>14.771306666666669</v>
      </c>
      <c r="V5">
        <v>9.0333333333333332</v>
      </c>
      <c r="W5">
        <v>663.99907749077488</v>
      </c>
      <c r="X5">
        <v>168</v>
      </c>
      <c r="Y5">
        <v>4.0469333333333329E-2</v>
      </c>
      <c r="Z5">
        <v>14.771306666666669</v>
      </c>
      <c r="AA5">
        <v>1.686222222222222E-3</v>
      </c>
    </row>
    <row r="6" spans="1:27" x14ac:dyDescent="0.25">
      <c r="A6" s="10">
        <v>1050</v>
      </c>
      <c r="B6" t="s">
        <v>10</v>
      </c>
      <c r="C6" t="s">
        <v>25</v>
      </c>
      <c r="D6">
        <v>8</v>
      </c>
      <c r="E6" t="s">
        <v>69</v>
      </c>
      <c r="F6" t="s">
        <v>40</v>
      </c>
      <c r="G6" t="s">
        <v>65</v>
      </c>
      <c r="H6" t="s">
        <v>41</v>
      </c>
      <c r="I6" t="s">
        <v>46</v>
      </c>
      <c r="J6">
        <v>25482</v>
      </c>
      <c r="K6" t="s">
        <v>14</v>
      </c>
      <c r="L6">
        <v>0.16352</v>
      </c>
      <c r="M6">
        <v>3.570186666666666</v>
      </c>
      <c r="N6">
        <v>5.4506666666666662E-2</v>
      </c>
      <c r="O6">
        <v>3.92448</v>
      </c>
      <c r="P6">
        <v>2.0712533333333329</v>
      </c>
      <c r="Q6">
        <v>0.1090133333333333</v>
      </c>
      <c r="R6">
        <v>9.538666666666666</v>
      </c>
      <c r="S6">
        <v>0.16352</v>
      </c>
      <c r="T6">
        <v>8.1759999999999999E-2</v>
      </c>
      <c r="U6">
        <v>19.67690666666666</v>
      </c>
      <c r="V6">
        <v>12.03333333333333</v>
      </c>
      <c r="W6">
        <v>661.75554016620504</v>
      </c>
      <c r="X6">
        <v>168</v>
      </c>
      <c r="Y6">
        <v>5.390933333333333E-2</v>
      </c>
      <c r="Z6">
        <v>19.67690666666666</v>
      </c>
      <c r="AA6">
        <v>2.2462222222222219E-3</v>
      </c>
    </row>
    <row r="7" spans="1:27" x14ac:dyDescent="0.25">
      <c r="A7" s="10">
        <v>1051</v>
      </c>
      <c r="B7" t="s">
        <v>10</v>
      </c>
      <c r="C7" t="s">
        <v>25</v>
      </c>
      <c r="D7">
        <v>8</v>
      </c>
      <c r="E7" t="s">
        <v>69</v>
      </c>
      <c r="F7" t="s">
        <v>40</v>
      </c>
      <c r="G7" t="s">
        <v>65</v>
      </c>
      <c r="H7" t="s">
        <v>41</v>
      </c>
      <c r="I7" t="s">
        <v>47</v>
      </c>
      <c r="J7">
        <v>30052</v>
      </c>
      <c r="K7" t="s">
        <v>14</v>
      </c>
      <c r="L7">
        <v>0.16352</v>
      </c>
      <c r="M7">
        <v>5.5051733333333326</v>
      </c>
      <c r="N7">
        <v>5.4506666666666662E-2</v>
      </c>
      <c r="O7">
        <v>4.9055999999999989</v>
      </c>
      <c r="P7">
        <v>1.9894933333333329</v>
      </c>
      <c r="Q7">
        <v>0.1090133333333333</v>
      </c>
      <c r="R7">
        <v>11.41914666666667</v>
      </c>
      <c r="S7">
        <v>0.16352</v>
      </c>
      <c r="T7">
        <v>0.1090133333333333</v>
      </c>
      <c r="U7">
        <v>24.418986666666669</v>
      </c>
      <c r="V7">
        <v>14.93333333333333</v>
      </c>
      <c r="W7">
        <v>628.87834821428578</v>
      </c>
      <c r="X7">
        <v>168</v>
      </c>
      <c r="Y7">
        <v>6.6901333333333327E-2</v>
      </c>
      <c r="Z7">
        <v>24.418986666666669</v>
      </c>
      <c r="AA7">
        <v>2.7875555555555548E-3</v>
      </c>
    </row>
    <row r="8" spans="1:27" x14ac:dyDescent="0.25">
      <c r="A8" s="10">
        <v>1052</v>
      </c>
      <c r="B8" t="s">
        <v>10</v>
      </c>
      <c r="C8" t="s">
        <v>25</v>
      </c>
      <c r="D8">
        <v>8</v>
      </c>
      <c r="E8" t="s">
        <v>69</v>
      </c>
      <c r="F8" t="s">
        <v>40</v>
      </c>
      <c r="G8" t="s">
        <v>65</v>
      </c>
      <c r="H8" t="s">
        <v>41</v>
      </c>
      <c r="I8" t="s">
        <v>48</v>
      </c>
      <c r="J8">
        <v>30199</v>
      </c>
      <c r="K8" t="s">
        <v>14</v>
      </c>
      <c r="L8">
        <v>0.19077333333333341</v>
      </c>
      <c r="M8">
        <v>4.9055999999999989</v>
      </c>
      <c r="N8">
        <v>5.4506666666666662E-2</v>
      </c>
      <c r="O8">
        <v>5.23264</v>
      </c>
      <c r="P8">
        <v>2.044</v>
      </c>
      <c r="Q8">
        <v>0.1090133333333333</v>
      </c>
      <c r="R8">
        <v>11.74618666666667</v>
      </c>
      <c r="S8">
        <v>0.16352</v>
      </c>
      <c r="T8">
        <v>0.1090133333333333</v>
      </c>
      <c r="U8">
        <v>24.555253333333329</v>
      </c>
      <c r="V8">
        <v>15.016666666666669</v>
      </c>
      <c r="W8">
        <v>628.44755826859057</v>
      </c>
      <c r="X8">
        <v>168</v>
      </c>
      <c r="Y8">
        <v>6.7274666666666663E-2</v>
      </c>
      <c r="Z8">
        <v>24.555253333333329</v>
      </c>
      <c r="AA8">
        <v>2.8031111111111108E-3</v>
      </c>
    </row>
    <row r="9" spans="1:27" x14ac:dyDescent="0.25">
      <c r="A9" s="10">
        <v>1053</v>
      </c>
      <c r="B9" t="s">
        <v>10</v>
      </c>
      <c r="C9" t="s">
        <v>25</v>
      </c>
      <c r="D9">
        <v>8</v>
      </c>
      <c r="E9" t="s">
        <v>69</v>
      </c>
      <c r="F9" t="s">
        <v>40</v>
      </c>
      <c r="G9" t="s">
        <v>65</v>
      </c>
      <c r="H9" t="s">
        <v>41</v>
      </c>
      <c r="I9" t="s">
        <v>49</v>
      </c>
      <c r="J9">
        <v>32532</v>
      </c>
      <c r="K9" t="s">
        <v>14</v>
      </c>
      <c r="L9">
        <v>0.21802666666666659</v>
      </c>
      <c r="M9">
        <v>4.1697599999999992</v>
      </c>
      <c r="N9">
        <v>5.4506666666666662E-2</v>
      </c>
      <c r="O9">
        <v>5.4779199999999992</v>
      </c>
      <c r="P9">
        <v>2.0712533333333329</v>
      </c>
      <c r="Q9">
        <v>0.1090133333333333</v>
      </c>
      <c r="R9">
        <v>14.825813333333331</v>
      </c>
      <c r="S9">
        <v>0.16352</v>
      </c>
      <c r="T9">
        <v>0.1090133333333333</v>
      </c>
      <c r="U9">
        <v>27.198826666666658</v>
      </c>
      <c r="V9">
        <v>16.633333333333329</v>
      </c>
      <c r="W9">
        <v>611.19739478957922</v>
      </c>
      <c r="X9">
        <v>168</v>
      </c>
      <c r="Y9">
        <v>7.4517333333333324E-2</v>
      </c>
      <c r="Z9">
        <v>27.198826666666658</v>
      </c>
      <c r="AA9">
        <v>3.1048888888888879E-3</v>
      </c>
    </row>
    <row r="10" spans="1:27" x14ac:dyDescent="0.25">
      <c r="A10" s="10">
        <v>1054</v>
      </c>
      <c r="B10" t="s">
        <v>10</v>
      </c>
      <c r="C10" t="s">
        <v>25</v>
      </c>
      <c r="D10">
        <v>8</v>
      </c>
      <c r="E10" t="s">
        <v>69</v>
      </c>
      <c r="F10" t="s">
        <v>40</v>
      </c>
      <c r="G10" t="s">
        <v>65</v>
      </c>
      <c r="H10" t="s">
        <v>41</v>
      </c>
      <c r="I10" t="s">
        <v>50</v>
      </c>
      <c r="J10">
        <v>32760</v>
      </c>
      <c r="K10" t="s">
        <v>14</v>
      </c>
      <c r="L10">
        <v>0.19077333333333341</v>
      </c>
      <c r="M10">
        <v>4.1697599999999992</v>
      </c>
      <c r="N10">
        <v>2.7253333333333331E-2</v>
      </c>
      <c r="O10">
        <v>5.2871466666666667</v>
      </c>
      <c r="P10">
        <v>1.9077333333333331</v>
      </c>
      <c r="Q10">
        <v>0.1090133333333333</v>
      </c>
      <c r="R10">
        <v>14.03546666666667</v>
      </c>
      <c r="S10">
        <v>0.16352</v>
      </c>
      <c r="T10">
        <v>0.1090133333333333</v>
      </c>
      <c r="U10">
        <v>25.999680000000001</v>
      </c>
      <c r="V10">
        <v>15.9</v>
      </c>
      <c r="W10">
        <v>643.86792452830184</v>
      </c>
      <c r="X10">
        <v>168</v>
      </c>
      <c r="Y10">
        <v>7.1232000000000004E-2</v>
      </c>
      <c r="Z10">
        <v>25.999680000000001</v>
      </c>
      <c r="AA10">
        <v>2.9680000000000002E-3</v>
      </c>
    </row>
    <row r="11" spans="1:27" x14ac:dyDescent="0.25">
      <c r="A11" s="10">
        <v>1055</v>
      </c>
      <c r="B11" t="s">
        <v>10</v>
      </c>
      <c r="C11" t="s">
        <v>25</v>
      </c>
      <c r="D11">
        <v>8</v>
      </c>
      <c r="E11" t="s">
        <v>69</v>
      </c>
      <c r="F11" t="s">
        <v>40</v>
      </c>
      <c r="G11" t="s">
        <v>65</v>
      </c>
      <c r="H11" t="s">
        <v>41</v>
      </c>
      <c r="I11" t="s">
        <v>51</v>
      </c>
      <c r="J11">
        <v>33779</v>
      </c>
      <c r="K11" t="s">
        <v>14</v>
      </c>
      <c r="L11">
        <v>0.19077333333333341</v>
      </c>
      <c r="M11">
        <v>5.614186666666666</v>
      </c>
      <c r="N11">
        <v>5.4506666666666662E-2</v>
      </c>
      <c r="O11">
        <v>5.5869333333333326</v>
      </c>
      <c r="P11">
        <v>2.0712533333333329</v>
      </c>
      <c r="Q11">
        <v>0.1090133333333333</v>
      </c>
      <c r="R11">
        <v>12.672800000000001</v>
      </c>
      <c r="S11">
        <v>0.16352</v>
      </c>
      <c r="T11">
        <v>0.13626666666666659</v>
      </c>
      <c r="U11">
        <v>26.59925333333333</v>
      </c>
      <c r="V11">
        <v>16.266666666666669</v>
      </c>
      <c r="W11">
        <v>648.93058401639348</v>
      </c>
      <c r="X11">
        <v>168</v>
      </c>
      <c r="Y11">
        <v>7.2874666666666657E-2</v>
      </c>
      <c r="Z11">
        <v>26.59925333333333</v>
      </c>
      <c r="AA11">
        <v>3.036444444444444E-3</v>
      </c>
    </row>
    <row r="12" spans="1:27" x14ac:dyDescent="0.25">
      <c r="A12" s="10">
        <v>1056</v>
      </c>
      <c r="B12" t="s">
        <v>10</v>
      </c>
      <c r="C12" t="s">
        <v>25</v>
      </c>
      <c r="D12">
        <v>8</v>
      </c>
      <c r="E12" t="s">
        <v>69</v>
      </c>
      <c r="F12" t="s">
        <v>40</v>
      </c>
      <c r="G12" t="s">
        <v>65</v>
      </c>
      <c r="H12" t="s">
        <v>41</v>
      </c>
      <c r="I12" t="s">
        <v>52</v>
      </c>
      <c r="J12">
        <v>34201</v>
      </c>
      <c r="K12" t="s">
        <v>14</v>
      </c>
      <c r="L12">
        <v>0.16352</v>
      </c>
      <c r="M12">
        <v>3.760959999999999</v>
      </c>
      <c r="N12">
        <v>5.4506666666666662E-2</v>
      </c>
      <c r="O12">
        <v>5.614186666666666</v>
      </c>
      <c r="P12">
        <v>1.9077333333333331</v>
      </c>
      <c r="Q12">
        <v>0.1090133333333333</v>
      </c>
      <c r="R12">
        <v>15.316373333333329</v>
      </c>
      <c r="S12">
        <v>0.16352</v>
      </c>
      <c r="T12">
        <v>0.13626666666666659</v>
      </c>
      <c r="U12">
        <v>27.226079999999989</v>
      </c>
      <c r="V12">
        <v>16.649999999999999</v>
      </c>
      <c r="W12">
        <v>641.91066066066071</v>
      </c>
      <c r="X12">
        <v>168</v>
      </c>
      <c r="Y12">
        <v>7.4591999999999992E-2</v>
      </c>
      <c r="Z12">
        <v>27.22608</v>
      </c>
      <c r="AA12">
        <v>3.1080000000000001E-3</v>
      </c>
    </row>
    <row r="13" spans="1:27" x14ac:dyDescent="0.25">
      <c r="A13" s="10">
        <v>1057</v>
      </c>
      <c r="B13" t="s">
        <v>10</v>
      </c>
      <c r="C13" t="s">
        <v>25</v>
      </c>
      <c r="D13">
        <v>8</v>
      </c>
      <c r="E13" t="s">
        <v>69</v>
      </c>
      <c r="F13" t="s">
        <v>40</v>
      </c>
      <c r="G13" t="s">
        <v>65</v>
      </c>
      <c r="H13" t="s">
        <v>41</v>
      </c>
      <c r="I13" t="s">
        <v>53</v>
      </c>
      <c r="J13">
        <v>34641</v>
      </c>
      <c r="K13" t="s">
        <v>14</v>
      </c>
      <c r="L13">
        <v>0.19077333333333341</v>
      </c>
      <c r="M13">
        <v>4.6875733333333329</v>
      </c>
      <c r="N13">
        <v>2.7253333333333331E-2</v>
      </c>
      <c r="O13">
        <v>5.9412266666666662</v>
      </c>
      <c r="P13">
        <v>2.153013333333333</v>
      </c>
      <c r="Q13">
        <v>0.1090133333333333</v>
      </c>
      <c r="R13">
        <v>15.91594666666666</v>
      </c>
      <c r="S13">
        <v>0.19077333333333341</v>
      </c>
      <c r="T13">
        <v>0.13626666666666659</v>
      </c>
      <c r="U13">
        <v>29.351839999999999</v>
      </c>
      <c r="V13">
        <v>17.95</v>
      </c>
      <c r="W13">
        <v>603.08147632311989</v>
      </c>
      <c r="X13">
        <v>168</v>
      </c>
      <c r="Y13">
        <v>8.0415999999999987E-2</v>
      </c>
      <c r="Z13">
        <v>29.351839999999999</v>
      </c>
      <c r="AA13">
        <v>3.3506666666666659E-3</v>
      </c>
    </row>
    <row r="14" spans="1:27" x14ac:dyDescent="0.25">
      <c r="A14" s="10">
        <v>1058</v>
      </c>
      <c r="B14" t="s">
        <v>10</v>
      </c>
      <c r="C14" t="s">
        <v>25</v>
      </c>
      <c r="D14">
        <v>8</v>
      </c>
      <c r="E14" t="s">
        <v>69</v>
      </c>
      <c r="F14" t="s">
        <v>40</v>
      </c>
      <c r="G14" t="s">
        <v>65</v>
      </c>
      <c r="H14" t="s">
        <v>41</v>
      </c>
      <c r="I14" t="s">
        <v>54</v>
      </c>
      <c r="J14">
        <v>36413</v>
      </c>
      <c r="K14" t="s">
        <v>14</v>
      </c>
      <c r="L14">
        <v>0.19077333333333341</v>
      </c>
      <c r="M14">
        <v>3.9789866666666658</v>
      </c>
      <c r="N14">
        <v>5.4506666666666662E-2</v>
      </c>
      <c r="O14">
        <v>6.4045333333333323</v>
      </c>
      <c r="P14">
        <v>2.044</v>
      </c>
      <c r="Q14">
        <v>0.1090133333333333</v>
      </c>
      <c r="R14">
        <v>19.050080000000001</v>
      </c>
      <c r="S14">
        <v>0.16352</v>
      </c>
      <c r="T14">
        <v>0.13626666666666659</v>
      </c>
      <c r="U14">
        <v>32.131680000000003</v>
      </c>
      <c r="V14">
        <v>19.649999999999999</v>
      </c>
      <c r="W14">
        <v>579.08715012722655</v>
      </c>
      <c r="X14">
        <v>168</v>
      </c>
      <c r="Y14">
        <v>8.8031999999999985E-2</v>
      </c>
      <c r="Z14">
        <v>32.131680000000003</v>
      </c>
      <c r="AA14">
        <v>3.667999999999999E-3</v>
      </c>
    </row>
    <row r="15" spans="1:27" x14ac:dyDescent="0.25">
      <c r="A15" s="10">
        <v>1059</v>
      </c>
      <c r="B15" t="s">
        <v>10</v>
      </c>
      <c r="C15" t="s">
        <v>25</v>
      </c>
      <c r="D15">
        <v>8</v>
      </c>
      <c r="E15" t="s">
        <v>69</v>
      </c>
      <c r="F15" t="s">
        <v>40</v>
      </c>
      <c r="G15" t="s">
        <v>65</v>
      </c>
      <c r="H15" t="s">
        <v>41</v>
      </c>
      <c r="I15" t="s">
        <v>55</v>
      </c>
      <c r="J15">
        <v>39578</v>
      </c>
      <c r="K15" t="s">
        <v>14</v>
      </c>
      <c r="L15">
        <v>0.21802666666666659</v>
      </c>
      <c r="M15">
        <v>4.3877866666666661</v>
      </c>
      <c r="N15">
        <v>5.4506666666666662E-2</v>
      </c>
      <c r="O15">
        <v>7.4674133333333321</v>
      </c>
      <c r="P15">
        <v>2.2347733333333339</v>
      </c>
      <c r="Q15">
        <v>0.16352</v>
      </c>
      <c r="R15">
        <v>19.377120000000001</v>
      </c>
      <c r="S15">
        <v>0.19077333333333341</v>
      </c>
      <c r="T15">
        <v>0.16352</v>
      </c>
      <c r="U15">
        <v>34.257440000000003</v>
      </c>
      <c r="V15">
        <v>20.95</v>
      </c>
      <c r="W15">
        <v>590.36396181384248</v>
      </c>
      <c r="X15">
        <v>168</v>
      </c>
      <c r="Y15">
        <v>9.3855999999999995E-2</v>
      </c>
      <c r="Z15">
        <v>34.257440000000003</v>
      </c>
      <c r="AA15">
        <v>3.9106666666666656E-3</v>
      </c>
    </row>
    <row r="16" spans="1:27" x14ac:dyDescent="0.25">
      <c r="A16" s="10">
        <v>1060</v>
      </c>
      <c r="B16" t="s">
        <v>10</v>
      </c>
      <c r="C16" t="s">
        <v>25</v>
      </c>
      <c r="D16">
        <v>8</v>
      </c>
      <c r="E16" t="s">
        <v>69</v>
      </c>
      <c r="F16" t="s">
        <v>40</v>
      </c>
      <c r="G16" t="s">
        <v>65</v>
      </c>
      <c r="H16" t="s">
        <v>41</v>
      </c>
      <c r="I16" t="s">
        <v>56</v>
      </c>
      <c r="J16">
        <v>40803</v>
      </c>
      <c r="K16" t="s">
        <v>14</v>
      </c>
      <c r="L16">
        <v>0.19077333333333341</v>
      </c>
      <c r="M16">
        <v>4.5240533333333328</v>
      </c>
      <c r="N16">
        <v>5.4506666666666662E-2</v>
      </c>
      <c r="O16">
        <v>7.385653333333333</v>
      </c>
      <c r="P16">
        <v>2.0985066666666672</v>
      </c>
      <c r="Q16">
        <v>0.13626666666666659</v>
      </c>
      <c r="R16">
        <v>20.985066666666668</v>
      </c>
      <c r="S16">
        <v>0.19077333333333341</v>
      </c>
      <c r="T16">
        <v>0.19077333333333341</v>
      </c>
      <c r="U16">
        <v>35.756373333333343</v>
      </c>
      <c r="V16">
        <v>21.866666666666671</v>
      </c>
      <c r="W16">
        <v>583.12214176829264</v>
      </c>
      <c r="X16">
        <v>168</v>
      </c>
      <c r="Y16">
        <v>9.796266666666667E-2</v>
      </c>
      <c r="Z16">
        <v>35.756373333333343</v>
      </c>
      <c r="AA16">
        <v>4.0817777777777779E-3</v>
      </c>
    </row>
    <row r="17" spans="1:27" x14ac:dyDescent="0.25">
      <c r="A17" s="10">
        <v>1061</v>
      </c>
      <c r="B17" t="s">
        <v>10</v>
      </c>
      <c r="C17" t="s">
        <v>25</v>
      </c>
      <c r="D17">
        <v>8</v>
      </c>
      <c r="E17" t="s">
        <v>69</v>
      </c>
      <c r="F17" t="s">
        <v>40</v>
      </c>
      <c r="G17" t="s">
        <v>65</v>
      </c>
      <c r="H17" t="s">
        <v>41</v>
      </c>
      <c r="I17" t="s">
        <v>57</v>
      </c>
      <c r="J17">
        <v>51118</v>
      </c>
      <c r="K17" t="s">
        <v>14</v>
      </c>
      <c r="L17">
        <v>0.24528</v>
      </c>
      <c r="M17">
        <v>5.7504533333333319</v>
      </c>
      <c r="N17">
        <v>5.4506666666666662E-2</v>
      </c>
      <c r="O17">
        <v>9.9474666666666653</v>
      </c>
      <c r="P17">
        <v>2.452799999999999</v>
      </c>
      <c r="Q17">
        <v>0.16352</v>
      </c>
      <c r="R17">
        <v>29.678879999999989</v>
      </c>
      <c r="S17">
        <v>0.24528</v>
      </c>
      <c r="T17">
        <v>0.19077333333333341</v>
      </c>
      <c r="U17">
        <v>48.728960000000001</v>
      </c>
      <c r="V17">
        <v>29.8</v>
      </c>
      <c r="W17">
        <v>536.05285234899327</v>
      </c>
      <c r="X17">
        <v>168</v>
      </c>
      <c r="Y17">
        <v>0.13350400000000001</v>
      </c>
      <c r="Z17">
        <v>48.728960000000001</v>
      </c>
      <c r="AA17">
        <v>5.5626666666666671E-3</v>
      </c>
    </row>
    <row r="18" spans="1:27" x14ac:dyDescent="0.25">
      <c r="A18" s="10">
        <v>1062</v>
      </c>
      <c r="B18" t="s">
        <v>10</v>
      </c>
      <c r="C18" t="s">
        <v>25</v>
      </c>
      <c r="D18">
        <v>8</v>
      </c>
      <c r="E18" t="s">
        <v>69</v>
      </c>
      <c r="F18" t="s">
        <v>40</v>
      </c>
      <c r="G18" t="s">
        <v>65</v>
      </c>
      <c r="H18" t="s">
        <v>41</v>
      </c>
      <c r="I18" t="s">
        <v>58</v>
      </c>
      <c r="J18">
        <v>54688</v>
      </c>
      <c r="K18" t="s">
        <v>14</v>
      </c>
      <c r="L18">
        <v>0.29978666666666659</v>
      </c>
      <c r="M18">
        <v>7.0586133333333319</v>
      </c>
      <c r="N18">
        <v>5.4506666666666662E-2</v>
      </c>
      <c r="O18">
        <v>11.337386666666671</v>
      </c>
      <c r="P18">
        <v>3.1886399999999999</v>
      </c>
      <c r="Q18">
        <v>0.16352</v>
      </c>
      <c r="R18">
        <v>35.565600000000003</v>
      </c>
      <c r="S18">
        <v>0.27253333333333329</v>
      </c>
      <c r="T18">
        <v>0.19077333333333341</v>
      </c>
      <c r="U18">
        <v>58.131359999999987</v>
      </c>
      <c r="V18">
        <v>35.549999999999997</v>
      </c>
      <c r="W18">
        <v>480.73136427566811</v>
      </c>
      <c r="X18">
        <v>168</v>
      </c>
      <c r="Y18">
        <v>0.15926399999999999</v>
      </c>
      <c r="Z18">
        <v>58.131359999999987</v>
      </c>
      <c r="AA18">
        <v>6.6359999999999987E-3</v>
      </c>
    </row>
    <row r="19" spans="1:27" x14ac:dyDescent="0.25">
      <c r="A19" s="10">
        <v>1063</v>
      </c>
      <c r="B19" t="s">
        <v>10</v>
      </c>
      <c r="C19" t="s">
        <v>25</v>
      </c>
      <c r="D19">
        <v>8</v>
      </c>
      <c r="E19" t="s">
        <v>69</v>
      </c>
      <c r="F19" t="s">
        <v>40</v>
      </c>
      <c r="G19" t="s">
        <v>65</v>
      </c>
      <c r="H19" t="s">
        <v>41</v>
      </c>
      <c r="I19" t="s">
        <v>59</v>
      </c>
      <c r="J19">
        <v>56704</v>
      </c>
      <c r="K19" t="s">
        <v>14</v>
      </c>
      <c r="L19">
        <v>0.29978666666666659</v>
      </c>
      <c r="M19">
        <v>8.3667733333333327</v>
      </c>
      <c r="N19">
        <v>5.4506666666666662E-2</v>
      </c>
      <c r="O19">
        <v>12.154986666666669</v>
      </c>
      <c r="P19">
        <v>2.7253333333333329</v>
      </c>
      <c r="Q19">
        <v>0.19077333333333341</v>
      </c>
      <c r="R19">
        <v>39.217546666666671</v>
      </c>
      <c r="S19">
        <v>0.24528</v>
      </c>
      <c r="T19">
        <v>0.21802666666666659</v>
      </c>
      <c r="U19">
        <v>63.473013333333327</v>
      </c>
      <c r="V19">
        <v>38.81666666666667</v>
      </c>
      <c r="W19">
        <v>456.50493774151988</v>
      </c>
      <c r="X19">
        <v>168</v>
      </c>
      <c r="Y19">
        <v>0.1738986666666667</v>
      </c>
      <c r="Z19">
        <v>63.473013333333327</v>
      </c>
      <c r="AA19">
        <v>7.2457777777777781E-3</v>
      </c>
    </row>
    <row r="20" spans="1:27" x14ac:dyDescent="0.25">
      <c r="A20" s="10">
        <v>1064</v>
      </c>
      <c r="B20" t="s">
        <v>10</v>
      </c>
      <c r="C20" t="s">
        <v>25</v>
      </c>
      <c r="D20">
        <v>8</v>
      </c>
      <c r="E20" t="s">
        <v>69</v>
      </c>
      <c r="F20" t="s">
        <v>40</v>
      </c>
      <c r="G20" t="s">
        <v>65</v>
      </c>
      <c r="H20" t="s">
        <v>41</v>
      </c>
      <c r="I20" t="s">
        <v>60</v>
      </c>
      <c r="J20">
        <v>62781</v>
      </c>
      <c r="K20" t="s">
        <v>14</v>
      </c>
      <c r="L20">
        <v>0.32704</v>
      </c>
      <c r="M20">
        <v>9.2661333333333324</v>
      </c>
      <c r="N20">
        <v>5.4506666666666662E-2</v>
      </c>
      <c r="O20">
        <v>13.8992</v>
      </c>
      <c r="P20">
        <v>2.7253333333333329</v>
      </c>
      <c r="Q20">
        <v>0.21802666666666659</v>
      </c>
      <c r="R20">
        <v>48.047626666666673</v>
      </c>
      <c r="S20">
        <v>0.27253333333333329</v>
      </c>
      <c r="T20">
        <v>0.24528</v>
      </c>
      <c r="U20">
        <v>75.055679999999995</v>
      </c>
      <c r="V20">
        <v>45.9</v>
      </c>
      <c r="W20">
        <v>427.43055555555549</v>
      </c>
      <c r="X20">
        <v>168</v>
      </c>
      <c r="Y20">
        <v>0.20563200000000001</v>
      </c>
      <c r="Z20">
        <v>75.055679999999995</v>
      </c>
      <c r="AA20">
        <v>8.5679999999999992E-3</v>
      </c>
    </row>
    <row r="21" spans="1:27" x14ac:dyDescent="0.25">
      <c r="A21" s="10">
        <v>1065</v>
      </c>
      <c r="B21" t="s">
        <v>10</v>
      </c>
      <c r="C21" t="s">
        <v>25</v>
      </c>
      <c r="D21">
        <v>8</v>
      </c>
      <c r="E21" t="s">
        <v>69</v>
      </c>
      <c r="F21" t="s">
        <v>40</v>
      </c>
      <c r="G21" t="s">
        <v>65</v>
      </c>
      <c r="H21" t="s">
        <v>41</v>
      </c>
      <c r="I21" t="s">
        <v>61</v>
      </c>
      <c r="J21">
        <v>80040</v>
      </c>
      <c r="K21" t="s">
        <v>14</v>
      </c>
      <c r="L21">
        <v>0.3815466666666667</v>
      </c>
      <c r="M21">
        <v>16.352</v>
      </c>
      <c r="N21">
        <v>8.1759999999999999E-2</v>
      </c>
      <c r="O21">
        <v>21.530133333333328</v>
      </c>
      <c r="P21">
        <v>3.5156800000000001</v>
      </c>
      <c r="Q21">
        <v>0.24528</v>
      </c>
      <c r="R21">
        <v>75.764266666666657</v>
      </c>
      <c r="S21">
        <v>0.29978666666666659</v>
      </c>
      <c r="T21">
        <v>0.29978666666666659</v>
      </c>
      <c r="U21">
        <v>118.47024</v>
      </c>
      <c r="V21">
        <v>72.45</v>
      </c>
      <c r="W21">
        <v>345.23809523809518</v>
      </c>
      <c r="X21">
        <v>168</v>
      </c>
      <c r="Y21">
        <v>0.32457599999999998</v>
      </c>
      <c r="Z21">
        <v>118.47024</v>
      </c>
      <c r="AA21">
        <v>1.3524E-2</v>
      </c>
    </row>
    <row r="22" spans="1:27" x14ac:dyDescent="0.25">
      <c r="A22" s="10">
        <v>1066</v>
      </c>
      <c r="B22" t="s">
        <v>10</v>
      </c>
      <c r="C22" t="s">
        <v>25</v>
      </c>
      <c r="D22">
        <v>8</v>
      </c>
      <c r="E22" t="s">
        <v>69</v>
      </c>
      <c r="F22" t="s">
        <v>40</v>
      </c>
      <c r="G22" t="s">
        <v>65</v>
      </c>
      <c r="H22" t="s">
        <v>41</v>
      </c>
      <c r="I22" t="s">
        <v>62</v>
      </c>
      <c r="J22">
        <v>83963</v>
      </c>
      <c r="K22" t="s">
        <v>14</v>
      </c>
      <c r="L22">
        <v>0.51781333333333324</v>
      </c>
      <c r="M22">
        <v>17.469386666666669</v>
      </c>
      <c r="N22">
        <v>5.4506666666666662E-2</v>
      </c>
      <c r="O22">
        <v>22.42949333333333</v>
      </c>
      <c r="P22">
        <v>3.0251199999999998</v>
      </c>
      <c r="Q22">
        <v>0.27253333333333329</v>
      </c>
      <c r="R22">
        <v>72.848159999999993</v>
      </c>
      <c r="S22">
        <v>0.35429333333333329</v>
      </c>
      <c r="T22">
        <v>0.32704</v>
      </c>
      <c r="U22">
        <v>117.2983466666667</v>
      </c>
      <c r="V22">
        <v>71.733333333333334</v>
      </c>
      <c r="W22">
        <v>365.77747444237917</v>
      </c>
      <c r="X22">
        <v>168</v>
      </c>
      <c r="Y22">
        <v>0.32136533333333328</v>
      </c>
      <c r="Z22">
        <v>117.2983466666666</v>
      </c>
      <c r="AA22">
        <v>1.339022222222222E-2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316F-F42D-4B47-8BB3-CA5B9BD16974}">
  <dimension ref="A1:Z22"/>
  <sheetViews>
    <sheetView workbookViewId="0">
      <selection activeCell="A2" sqref="A2:A22"/>
    </sheetView>
  </sheetViews>
  <sheetFormatPr defaultRowHeight="15" x14ac:dyDescent="0.25"/>
  <sheetData>
    <row r="1" spans="1:26" x14ac:dyDescent="0.25">
      <c r="A1" s="10" t="s">
        <v>26</v>
      </c>
      <c r="B1" s="10" t="s">
        <v>0</v>
      </c>
      <c r="C1" s="10" t="s">
        <v>1</v>
      </c>
      <c r="D1" s="10" t="s">
        <v>2</v>
      </c>
      <c r="E1" s="10" t="s">
        <v>29</v>
      </c>
      <c r="F1" s="10" t="s">
        <v>4</v>
      </c>
      <c r="G1" s="10" t="s">
        <v>5</v>
      </c>
      <c r="H1" s="10" t="s">
        <v>6</v>
      </c>
      <c r="I1" s="10" t="s">
        <v>27</v>
      </c>
      <c r="J1" s="10" t="s">
        <v>8</v>
      </c>
      <c r="K1" s="10" t="s">
        <v>9</v>
      </c>
      <c r="L1" s="10" t="s">
        <v>30</v>
      </c>
      <c r="M1" s="10" t="s">
        <v>31</v>
      </c>
      <c r="N1" s="10" t="s">
        <v>68</v>
      </c>
      <c r="O1" s="10" t="s">
        <v>32</v>
      </c>
      <c r="P1" s="10" t="s">
        <v>33</v>
      </c>
      <c r="Q1" s="10" t="s">
        <v>34</v>
      </c>
      <c r="R1" s="10" t="s">
        <v>35</v>
      </c>
      <c r="S1" s="10" t="s">
        <v>36</v>
      </c>
      <c r="T1" s="10" t="s">
        <v>37</v>
      </c>
      <c r="U1" s="10" t="s">
        <v>15</v>
      </c>
      <c r="V1" s="10" t="s">
        <v>24</v>
      </c>
      <c r="W1" s="10" t="s">
        <v>23</v>
      </c>
      <c r="X1" s="10" t="s">
        <v>7</v>
      </c>
      <c r="Y1" s="10" t="s">
        <v>38</v>
      </c>
      <c r="Z1" s="10" t="s">
        <v>39</v>
      </c>
    </row>
    <row r="2" spans="1:26" x14ac:dyDescent="0.25">
      <c r="A2" s="10">
        <v>1025</v>
      </c>
      <c r="B2" t="s">
        <v>10</v>
      </c>
      <c r="C2" t="s">
        <v>25</v>
      </c>
      <c r="D2">
        <v>8</v>
      </c>
      <c r="E2" t="s">
        <v>69</v>
      </c>
      <c r="F2" t="s">
        <v>40</v>
      </c>
      <c r="G2" t="s">
        <v>65</v>
      </c>
      <c r="H2" t="s">
        <v>41</v>
      </c>
      <c r="I2" t="s">
        <v>42</v>
      </c>
      <c r="J2">
        <v>10999</v>
      </c>
      <c r="K2" t="s">
        <v>14</v>
      </c>
      <c r="L2">
        <v>0.13626666666666659</v>
      </c>
      <c r="M2">
        <v>0.81759999999999999</v>
      </c>
      <c r="N2">
        <v>0.3815466666666667</v>
      </c>
      <c r="O2">
        <v>1.9349866666666671</v>
      </c>
      <c r="P2">
        <v>0.13626666666666659</v>
      </c>
      <c r="Q2">
        <v>2.4800533333333332</v>
      </c>
      <c r="R2">
        <v>0.1090133333333333</v>
      </c>
      <c r="S2">
        <v>2.7253333333333331E-2</v>
      </c>
      <c r="T2">
        <v>6.0229866666666654</v>
      </c>
      <c r="U2">
        <v>3.6833333333333331</v>
      </c>
      <c r="V2">
        <v>933.17307692307702</v>
      </c>
      <c r="W2">
        <v>168</v>
      </c>
      <c r="X2">
        <v>1.650133333333333E-2</v>
      </c>
      <c r="Y2">
        <v>6.0229866666666663</v>
      </c>
      <c r="Z2">
        <v>6.8755555555555551E-4</v>
      </c>
    </row>
    <row r="3" spans="1:26" x14ac:dyDescent="0.25">
      <c r="A3" s="10">
        <v>1026</v>
      </c>
      <c r="B3" t="s">
        <v>10</v>
      </c>
      <c r="C3" t="s">
        <v>25</v>
      </c>
      <c r="D3">
        <v>8</v>
      </c>
      <c r="E3" t="s">
        <v>69</v>
      </c>
      <c r="F3" t="s">
        <v>40</v>
      </c>
      <c r="G3" t="s">
        <v>65</v>
      </c>
      <c r="H3" t="s">
        <v>41</v>
      </c>
      <c r="I3" t="s">
        <v>43</v>
      </c>
      <c r="J3">
        <v>13758</v>
      </c>
      <c r="K3" t="s">
        <v>14</v>
      </c>
      <c r="L3">
        <v>0.13626666666666659</v>
      </c>
      <c r="M3">
        <v>1.417173333333333</v>
      </c>
      <c r="N3">
        <v>0.7085866666666667</v>
      </c>
      <c r="O3">
        <v>2.2075200000000001</v>
      </c>
      <c r="P3">
        <v>0.27253333333333329</v>
      </c>
      <c r="Q3">
        <v>3.4884266666666659</v>
      </c>
      <c r="R3">
        <v>8.1759999999999999E-2</v>
      </c>
      <c r="S3">
        <v>5.4506666666666662E-2</v>
      </c>
      <c r="T3">
        <v>8.3667733333333327</v>
      </c>
      <c r="U3">
        <v>5.1166666666666663</v>
      </c>
      <c r="V3">
        <v>840.26872964169388</v>
      </c>
      <c r="W3">
        <v>168</v>
      </c>
      <c r="X3">
        <v>2.2922666666666661E-2</v>
      </c>
      <c r="Y3">
        <v>8.3667733333333327</v>
      </c>
      <c r="Z3">
        <v>9.55111111111111E-4</v>
      </c>
    </row>
    <row r="4" spans="1:26" x14ac:dyDescent="0.25">
      <c r="A4" s="10">
        <v>1027</v>
      </c>
      <c r="B4" t="s">
        <v>10</v>
      </c>
      <c r="C4" t="s">
        <v>25</v>
      </c>
      <c r="D4">
        <v>8</v>
      </c>
      <c r="E4" t="s">
        <v>69</v>
      </c>
      <c r="F4" t="s">
        <v>40</v>
      </c>
      <c r="G4" t="s">
        <v>65</v>
      </c>
      <c r="H4" t="s">
        <v>41</v>
      </c>
      <c r="I4" t="s">
        <v>44</v>
      </c>
      <c r="J4">
        <v>13888</v>
      </c>
      <c r="K4" t="s">
        <v>14</v>
      </c>
      <c r="L4">
        <v>0.13626666666666659</v>
      </c>
      <c r="M4">
        <v>0.89936000000000005</v>
      </c>
      <c r="N4">
        <v>0.43605333333333329</v>
      </c>
      <c r="O4">
        <v>1.880479999999999</v>
      </c>
      <c r="P4">
        <v>0.19077333333333341</v>
      </c>
      <c r="Q4">
        <v>3.461173333333333</v>
      </c>
      <c r="R4">
        <v>0.1090133333333333</v>
      </c>
      <c r="S4">
        <v>5.4506666666666662E-2</v>
      </c>
      <c r="T4">
        <v>7.1676266666666661</v>
      </c>
      <c r="U4">
        <v>4.3833333333333337</v>
      </c>
      <c r="V4">
        <v>990.11406844106443</v>
      </c>
      <c r="W4">
        <v>168</v>
      </c>
      <c r="X4">
        <v>1.963733333333334E-2</v>
      </c>
      <c r="Y4">
        <v>7.167626666666667</v>
      </c>
      <c r="Z4">
        <v>8.1822222222222235E-4</v>
      </c>
    </row>
    <row r="5" spans="1:26" x14ac:dyDescent="0.25">
      <c r="A5" s="10">
        <v>1028</v>
      </c>
      <c r="B5" t="s">
        <v>10</v>
      </c>
      <c r="C5" t="s">
        <v>25</v>
      </c>
      <c r="D5">
        <v>8</v>
      </c>
      <c r="E5" t="s">
        <v>69</v>
      </c>
      <c r="F5" t="s">
        <v>40</v>
      </c>
      <c r="G5" t="s">
        <v>65</v>
      </c>
      <c r="H5" t="s">
        <v>41</v>
      </c>
      <c r="I5" t="s">
        <v>45</v>
      </c>
      <c r="J5">
        <v>19194</v>
      </c>
      <c r="K5" t="s">
        <v>14</v>
      </c>
      <c r="L5">
        <v>0.19077333333333341</v>
      </c>
      <c r="M5">
        <v>1.825973333333333</v>
      </c>
      <c r="N5">
        <v>0.87210666666666659</v>
      </c>
      <c r="O5">
        <v>3.052373333333334</v>
      </c>
      <c r="P5">
        <v>0.27253333333333329</v>
      </c>
      <c r="Q5">
        <v>5.2598933333333342</v>
      </c>
      <c r="R5">
        <v>0.1090133333333333</v>
      </c>
      <c r="S5">
        <v>8.1759999999999999E-2</v>
      </c>
      <c r="T5">
        <v>11.664426666666669</v>
      </c>
      <c r="U5">
        <v>7.1333333333333337</v>
      </c>
      <c r="V5">
        <v>840.85864485981301</v>
      </c>
      <c r="W5">
        <v>168</v>
      </c>
      <c r="X5">
        <v>3.1957333333333331E-2</v>
      </c>
      <c r="Y5">
        <v>11.664426666666669</v>
      </c>
      <c r="Z5">
        <v>1.331555555555555E-3</v>
      </c>
    </row>
    <row r="6" spans="1:26" x14ac:dyDescent="0.25">
      <c r="A6" s="10">
        <v>1029</v>
      </c>
      <c r="B6" t="s">
        <v>10</v>
      </c>
      <c r="C6" t="s">
        <v>25</v>
      </c>
      <c r="D6">
        <v>8</v>
      </c>
      <c r="E6" t="s">
        <v>69</v>
      </c>
      <c r="F6" t="s">
        <v>40</v>
      </c>
      <c r="G6" t="s">
        <v>65</v>
      </c>
      <c r="H6" t="s">
        <v>41</v>
      </c>
      <c r="I6" t="s">
        <v>46</v>
      </c>
      <c r="J6">
        <v>25482</v>
      </c>
      <c r="K6" t="s">
        <v>14</v>
      </c>
      <c r="L6">
        <v>0.19077333333333341</v>
      </c>
      <c r="M6">
        <v>0.81759999999999999</v>
      </c>
      <c r="N6">
        <v>0.46330666666666659</v>
      </c>
      <c r="O6">
        <v>1.96224</v>
      </c>
      <c r="P6">
        <v>0.19077333333333341</v>
      </c>
      <c r="Q6">
        <v>9.4841599999999993</v>
      </c>
      <c r="R6">
        <v>0.13626666666666659</v>
      </c>
      <c r="S6">
        <v>8.1759999999999999E-2</v>
      </c>
      <c r="T6">
        <v>13.326879999999999</v>
      </c>
      <c r="U6">
        <v>8.15</v>
      </c>
      <c r="V6">
        <v>977.07055214723925</v>
      </c>
      <c r="W6">
        <v>168</v>
      </c>
      <c r="X6">
        <v>3.6512000000000003E-2</v>
      </c>
      <c r="Y6">
        <v>13.326879999999999</v>
      </c>
      <c r="Z6">
        <v>1.5213333333333331E-3</v>
      </c>
    </row>
    <row r="7" spans="1:26" x14ac:dyDescent="0.25">
      <c r="A7" s="10">
        <v>1030</v>
      </c>
      <c r="B7" t="s">
        <v>10</v>
      </c>
      <c r="C7" t="s">
        <v>25</v>
      </c>
      <c r="D7">
        <v>8</v>
      </c>
      <c r="E7" t="s">
        <v>69</v>
      </c>
      <c r="F7" t="s">
        <v>40</v>
      </c>
      <c r="G7" t="s">
        <v>65</v>
      </c>
      <c r="H7" t="s">
        <v>41</v>
      </c>
      <c r="I7" t="s">
        <v>47</v>
      </c>
      <c r="J7">
        <v>30052</v>
      </c>
      <c r="K7" t="s">
        <v>14</v>
      </c>
      <c r="L7">
        <v>0.19077333333333341</v>
      </c>
      <c r="M7">
        <v>1.5806933333333331</v>
      </c>
      <c r="N7">
        <v>0.79034666666666653</v>
      </c>
      <c r="O7">
        <v>2.3982933333333332</v>
      </c>
      <c r="P7">
        <v>0.19077333333333341</v>
      </c>
      <c r="Q7">
        <v>11.41914666666667</v>
      </c>
      <c r="R7">
        <v>0.16352</v>
      </c>
      <c r="S7">
        <v>0.1090133333333333</v>
      </c>
      <c r="T7">
        <v>16.842559999999999</v>
      </c>
      <c r="U7">
        <v>10.3</v>
      </c>
      <c r="V7">
        <v>911.77184466019412</v>
      </c>
      <c r="W7">
        <v>168</v>
      </c>
      <c r="X7">
        <v>4.6143999999999998E-2</v>
      </c>
      <c r="Y7">
        <v>16.842559999999999</v>
      </c>
      <c r="Z7">
        <v>1.9226666666666669E-3</v>
      </c>
    </row>
    <row r="8" spans="1:26" x14ac:dyDescent="0.25">
      <c r="A8" s="10">
        <v>1031</v>
      </c>
      <c r="B8" t="s">
        <v>10</v>
      </c>
      <c r="C8" t="s">
        <v>25</v>
      </c>
      <c r="D8">
        <v>8</v>
      </c>
      <c r="E8" t="s">
        <v>69</v>
      </c>
      <c r="F8" t="s">
        <v>40</v>
      </c>
      <c r="G8" t="s">
        <v>65</v>
      </c>
      <c r="H8" t="s">
        <v>41</v>
      </c>
      <c r="I8" t="s">
        <v>48</v>
      </c>
      <c r="J8">
        <v>30199</v>
      </c>
      <c r="K8" t="s">
        <v>14</v>
      </c>
      <c r="L8">
        <v>0.19077333333333341</v>
      </c>
      <c r="M8">
        <v>1.06288</v>
      </c>
      <c r="N8">
        <v>0.7630933333333334</v>
      </c>
      <c r="O8">
        <v>2.425546666666667</v>
      </c>
      <c r="P8">
        <v>0.19077333333333341</v>
      </c>
      <c r="Q8">
        <v>11.827946666666669</v>
      </c>
      <c r="R8">
        <v>0.13626666666666659</v>
      </c>
      <c r="S8">
        <v>0.1090133333333333</v>
      </c>
      <c r="T8">
        <v>16.706293333333331</v>
      </c>
      <c r="U8">
        <v>10.21666666666667</v>
      </c>
      <c r="V8">
        <v>923.70513866231659</v>
      </c>
      <c r="W8">
        <v>168</v>
      </c>
      <c r="X8">
        <v>4.5770666666666661E-2</v>
      </c>
      <c r="Y8">
        <v>16.706293333333331</v>
      </c>
      <c r="Z8">
        <v>1.9071111111111109E-3</v>
      </c>
    </row>
    <row r="9" spans="1:26" x14ac:dyDescent="0.25">
      <c r="A9" s="10">
        <v>1032</v>
      </c>
      <c r="B9" t="s">
        <v>10</v>
      </c>
      <c r="C9" t="s">
        <v>25</v>
      </c>
      <c r="D9">
        <v>8</v>
      </c>
      <c r="E9" t="s">
        <v>69</v>
      </c>
      <c r="F9" t="s">
        <v>40</v>
      </c>
      <c r="G9" t="s">
        <v>65</v>
      </c>
      <c r="H9" t="s">
        <v>41</v>
      </c>
      <c r="I9" t="s">
        <v>49</v>
      </c>
      <c r="J9">
        <v>32532</v>
      </c>
      <c r="K9" t="s">
        <v>14</v>
      </c>
      <c r="L9">
        <v>0.21802666666666659</v>
      </c>
      <c r="M9">
        <v>0.95386666666666664</v>
      </c>
      <c r="N9">
        <v>0.51781333333333324</v>
      </c>
      <c r="O9">
        <v>2.0712533333333329</v>
      </c>
      <c r="P9">
        <v>0.19077333333333341</v>
      </c>
      <c r="Q9">
        <v>15.098346666666661</v>
      </c>
      <c r="R9">
        <v>0.16352</v>
      </c>
      <c r="S9">
        <v>0.1090133333333333</v>
      </c>
      <c r="T9">
        <v>19.322613333333329</v>
      </c>
      <c r="U9">
        <v>11.81666666666667</v>
      </c>
      <c r="V9">
        <v>860.33145275035258</v>
      </c>
      <c r="W9">
        <v>168</v>
      </c>
      <c r="X9">
        <v>5.2938666666666662E-2</v>
      </c>
      <c r="Y9">
        <v>19.322613333333329</v>
      </c>
      <c r="Z9">
        <v>2.205777777777777E-3</v>
      </c>
    </row>
    <row r="10" spans="1:26" x14ac:dyDescent="0.25">
      <c r="A10" s="10">
        <v>1033</v>
      </c>
      <c r="B10" t="s">
        <v>10</v>
      </c>
      <c r="C10" t="s">
        <v>25</v>
      </c>
      <c r="D10">
        <v>8</v>
      </c>
      <c r="E10" t="s">
        <v>69</v>
      </c>
      <c r="F10" t="s">
        <v>40</v>
      </c>
      <c r="G10" t="s">
        <v>65</v>
      </c>
      <c r="H10" t="s">
        <v>41</v>
      </c>
      <c r="I10" t="s">
        <v>50</v>
      </c>
      <c r="J10">
        <v>32760</v>
      </c>
      <c r="K10" t="s">
        <v>14</v>
      </c>
      <c r="L10">
        <v>0.19077333333333341</v>
      </c>
      <c r="M10">
        <v>0.84485333333333335</v>
      </c>
      <c r="N10">
        <v>0.46330666666666659</v>
      </c>
      <c r="O10">
        <v>2.0712533333333329</v>
      </c>
      <c r="P10">
        <v>0.19077333333333341</v>
      </c>
      <c r="Q10">
        <v>14.28074666666666</v>
      </c>
      <c r="R10">
        <v>0.16352</v>
      </c>
      <c r="S10">
        <v>0.1090133333333333</v>
      </c>
      <c r="T10">
        <v>18.314239999999991</v>
      </c>
      <c r="U10">
        <v>11.2</v>
      </c>
      <c r="V10">
        <v>914.06250000000011</v>
      </c>
      <c r="W10">
        <v>168</v>
      </c>
      <c r="X10">
        <v>5.0175999999999991E-2</v>
      </c>
      <c r="Y10">
        <v>18.314240000000002</v>
      </c>
      <c r="Z10">
        <v>2.090666666666666E-3</v>
      </c>
    </row>
    <row r="11" spans="1:26" x14ac:dyDescent="0.25">
      <c r="A11" s="10">
        <v>1034</v>
      </c>
      <c r="B11" t="s">
        <v>10</v>
      </c>
      <c r="C11" t="s">
        <v>25</v>
      </c>
      <c r="D11">
        <v>8</v>
      </c>
      <c r="E11" t="s">
        <v>69</v>
      </c>
      <c r="F11" t="s">
        <v>40</v>
      </c>
      <c r="G11" t="s">
        <v>65</v>
      </c>
      <c r="H11" t="s">
        <v>41</v>
      </c>
      <c r="I11" t="s">
        <v>51</v>
      </c>
      <c r="J11">
        <v>33779</v>
      </c>
      <c r="K11" t="s">
        <v>14</v>
      </c>
      <c r="L11">
        <v>0.24528</v>
      </c>
      <c r="M11">
        <v>1.5806933333333331</v>
      </c>
      <c r="N11">
        <v>0.79034666666666653</v>
      </c>
      <c r="O11">
        <v>2.3982933333333332</v>
      </c>
      <c r="P11">
        <v>0.19077333333333341</v>
      </c>
      <c r="Q11">
        <v>12.700053333333329</v>
      </c>
      <c r="R11">
        <v>0.16352</v>
      </c>
      <c r="S11">
        <v>0.13626666666666659</v>
      </c>
      <c r="T11">
        <v>18.205226666666661</v>
      </c>
      <c r="U11">
        <v>11.133333333333329</v>
      </c>
      <c r="V11">
        <v>948.13809880239512</v>
      </c>
      <c r="W11">
        <v>168</v>
      </c>
      <c r="X11">
        <v>4.9877333333333329E-2</v>
      </c>
      <c r="Y11">
        <v>18.205226666666661</v>
      </c>
      <c r="Z11">
        <v>2.0782222222222222E-3</v>
      </c>
    </row>
    <row r="12" spans="1:26" x14ac:dyDescent="0.25">
      <c r="A12" s="10">
        <v>1035</v>
      </c>
      <c r="B12" t="s">
        <v>10</v>
      </c>
      <c r="C12" t="s">
        <v>25</v>
      </c>
      <c r="D12">
        <v>8</v>
      </c>
      <c r="E12" t="s">
        <v>69</v>
      </c>
      <c r="F12" t="s">
        <v>40</v>
      </c>
      <c r="G12" t="s">
        <v>65</v>
      </c>
      <c r="H12" t="s">
        <v>41</v>
      </c>
      <c r="I12" t="s">
        <v>52</v>
      </c>
      <c r="J12">
        <v>34201</v>
      </c>
      <c r="K12" t="s">
        <v>14</v>
      </c>
      <c r="L12">
        <v>0.24528</v>
      </c>
      <c r="M12">
        <v>0.87210666666666659</v>
      </c>
      <c r="N12">
        <v>0.51781333333333324</v>
      </c>
      <c r="O12">
        <v>2.1257600000000001</v>
      </c>
      <c r="P12">
        <v>0.19077333333333341</v>
      </c>
      <c r="Q12">
        <v>15.507146666666671</v>
      </c>
      <c r="R12">
        <v>0.16352</v>
      </c>
      <c r="S12">
        <v>0.13626666666666659</v>
      </c>
      <c r="T12">
        <v>19.75866666666667</v>
      </c>
      <c r="U12">
        <v>12.08333333333333</v>
      </c>
      <c r="V12">
        <v>884.50862068965523</v>
      </c>
      <c r="W12">
        <v>168</v>
      </c>
      <c r="X12">
        <v>5.4133333333333332E-2</v>
      </c>
      <c r="Y12">
        <v>19.75866666666667</v>
      </c>
      <c r="Z12">
        <v>2.2555555555555549E-3</v>
      </c>
    </row>
    <row r="13" spans="1:26" x14ac:dyDescent="0.25">
      <c r="A13" s="10">
        <v>1036</v>
      </c>
      <c r="B13" t="s">
        <v>10</v>
      </c>
      <c r="C13" t="s">
        <v>25</v>
      </c>
      <c r="D13">
        <v>8</v>
      </c>
      <c r="E13" t="s">
        <v>69</v>
      </c>
      <c r="F13" t="s">
        <v>40</v>
      </c>
      <c r="G13" t="s">
        <v>65</v>
      </c>
      <c r="H13" t="s">
        <v>41</v>
      </c>
      <c r="I13" t="s">
        <v>53</v>
      </c>
      <c r="J13">
        <v>34641</v>
      </c>
      <c r="K13" t="s">
        <v>14</v>
      </c>
      <c r="L13">
        <v>0.24528</v>
      </c>
      <c r="M13">
        <v>0.84485333333333335</v>
      </c>
      <c r="N13">
        <v>0.79034666666666653</v>
      </c>
      <c r="O13">
        <v>2.4800533333333332</v>
      </c>
      <c r="P13">
        <v>0.19077333333333341</v>
      </c>
      <c r="Q13">
        <v>16.02496</v>
      </c>
      <c r="R13">
        <v>0.13626666666666659</v>
      </c>
      <c r="S13">
        <v>0.13626666666666659</v>
      </c>
      <c r="T13">
        <v>20.848800000000001</v>
      </c>
      <c r="U13">
        <v>12.75</v>
      </c>
      <c r="V13">
        <v>849.0441176470589</v>
      </c>
      <c r="W13">
        <v>168</v>
      </c>
      <c r="X13">
        <v>5.7119999999999997E-2</v>
      </c>
      <c r="Y13">
        <v>20.848800000000001</v>
      </c>
      <c r="Z13">
        <v>2.3800000000000002E-3</v>
      </c>
    </row>
    <row r="14" spans="1:26" x14ac:dyDescent="0.25">
      <c r="A14" s="10">
        <v>1037</v>
      </c>
      <c r="B14" t="s">
        <v>10</v>
      </c>
      <c r="C14" t="s">
        <v>25</v>
      </c>
      <c r="D14">
        <v>8</v>
      </c>
      <c r="E14" t="s">
        <v>69</v>
      </c>
      <c r="F14" t="s">
        <v>40</v>
      </c>
      <c r="G14" t="s">
        <v>65</v>
      </c>
      <c r="H14" t="s">
        <v>41</v>
      </c>
      <c r="I14" t="s">
        <v>54</v>
      </c>
      <c r="J14">
        <v>36413</v>
      </c>
      <c r="K14" t="s">
        <v>14</v>
      </c>
      <c r="L14">
        <v>0.21802666666666659</v>
      </c>
      <c r="M14">
        <v>0.84485333333333335</v>
      </c>
      <c r="N14">
        <v>0.49056</v>
      </c>
      <c r="O14">
        <v>2.1802666666666659</v>
      </c>
      <c r="P14">
        <v>0.19077333333333341</v>
      </c>
      <c r="Q14">
        <v>18.614026666666661</v>
      </c>
      <c r="R14">
        <v>0.16352</v>
      </c>
      <c r="S14">
        <v>0.13626666666666659</v>
      </c>
      <c r="T14">
        <v>22.838293333333329</v>
      </c>
      <c r="U14">
        <v>13.96666666666667</v>
      </c>
      <c r="V14">
        <v>814.73001193317418</v>
      </c>
      <c r="W14">
        <v>168</v>
      </c>
      <c r="X14">
        <v>6.2570666666666663E-2</v>
      </c>
      <c r="Y14">
        <v>22.838293333333329</v>
      </c>
      <c r="Z14">
        <v>2.6071111111111108E-3</v>
      </c>
    </row>
    <row r="15" spans="1:26" x14ac:dyDescent="0.25">
      <c r="A15" s="10">
        <v>1038</v>
      </c>
      <c r="B15" t="s">
        <v>10</v>
      </c>
      <c r="C15" t="s">
        <v>25</v>
      </c>
      <c r="D15">
        <v>8</v>
      </c>
      <c r="E15" t="s">
        <v>69</v>
      </c>
      <c r="F15" t="s">
        <v>40</v>
      </c>
      <c r="G15" t="s">
        <v>65</v>
      </c>
      <c r="H15" t="s">
        <v>41</v>
      </c>
      <c r="I15" t="s">
        <v>55</v>
      </c>
      <c r="J15">
        <v>39578</v>
      </c>
      <c r="K15" t="s">
        <v>14</v>
      </c>
      <c r="L15">
        <v>0.21802666666666659</v>
      </c>
      <c r="M15">
        <v>0.84485333333333335</v>
      </c>
      <c r="N15">
        <v>0.51781333333333324</v>
      </c>
      <c r="O15">
        <v>2.1257600000000001</v>
      </c>
      <c r="P15">
        <v>0.19077333333333341</v>
      </c>
      <c r="Q15">
        <v>18.995573333333329</v>
      </c>
      <c r="R15">
        <v>0.16352</v>
      </c>
      <c r="S15">
        <v>0.16352</v>
      </c>
      <c r="T15">
        <v>23.219840000000001</v>
      </c>
      <c r="U15">
        <v>14.2</v>
      </c>
      <c r="V15">
        <v>870.99471830985908</v>
      </c>
      <c r="W15">
        <v>168</v>
      </c>
      <c r="X15">
        <v>6.3615999999999992E-2</v>
      </c>
      <c r="Y15">
        <v>23.219840000000001</v>
      </c>
      <c r="Z15">
        <v>2.6506666666666662E-3</v>
      </c>
    </row>
    <row r="16" spans="1:26" x14ac:dyDescent="0.25">
      <c r="A16" s="10">
        <v>1039</v>
      </c>
      <c r="B16" t="s">
        <v>10</v>
      </c>
      <c r="C16" t="s">
        <v>25</v>
      </c>
      <c r="D16">
        <v>8</v>
      </c>
      <c r="E16" t="s">
        <v>69</v>
      </c>
      <c r="F16" t="s">
        <v>40</v>
      </c>
      <c r="G16" t="s">
        <v>65</v>
      </c>
      <c r="H16" t="s">
        <v>41</v>
      </c>
      <c r="I16" t="s">
        <v>56</v>
      </c>
      <c r="J16">
        <v>40803</v>
      </c>
      <c r="K16" t="s">
        <v>14</v>
      </c>
      <c r="L16">
        <v>0.24528</v>
      </c>
      <c r="M16">
        <v>0.81759999999999999</v>
      </c>
      <c r="N16">
        <v>0.49056</v>
      </c>
      <c r="O16">
        <v>2.262026666666666</v>
      </c>
      <c r="P16">
        <v>0.19077333333333341</v>
      </c>
      <c r="Q16">
        <v>21.012319999999999</v>
      </c>
      <c r="R16">
        <v>0.16352</v>
      </c>
      <c r="S16">
        <v>0.16352</v>
      </c>
      <c r="T16">
        <v>25.345600000000001</v>
      </c>
      <c r="U16">
        <v>15.5</v>
      </c>
      <c r="V16">
        <v>822.64112903225794</v>
      </c>
      <c r="W16">
        <v>168</v>
      </c>
      <c r="X16">
        <v>6.9440000000000002E-2</v>
      </c>
      <c r="Y16">
        <v>25.345600000000001</v>
      </c>
      <c r="Z16">
        <v>2.8933333333333328E-3</v>
      </c>
    </row>
    <row r="17" spans="1:26" x14ac:dyDescent="0.25">
      <c r="A17" s="10">
        <v>1040</v>
      </c>
      <c r="B17" t="s">
        <v>10</v>
      </c>
      <c r="C17" t="s">
        <v>25</v>
      </c>
      <c r="D17">
        <v>8</v>
      </c>
      <c r="E17" t="s">
        <v>69</v>
      </c>
      <c r="F17" t="s">
        <v>40</v>
      </c>
      <c r="G17" t="s">
        <v>65</v>
      </c>
      <c r="H17" t="s">
        <v>41</v>
      </c>
      <c r="I17" t="s">
        <v>57</v>
      </c>
      <c r="J17">
        <v>51118</v>
      </c>
      <c r="K17" t="s">
        <v>14</v>
      </c>
      <c r="L17">
        <v>0.27253333333333329</v>
      </c>
      <c r="M17">
        <v>0.84485333333333335</v>
      </c>
      <c r="N17">
        <v>0.62682666666666664</v>
      </c>
      <c r="O17">
        <v>2.5618133333333328</v>
      </c>
      <c r="P17">
        <v>0.21802666666666659</v>
      </c>
      <c r="Q17">
        <v>29.678879999999989</v>
      </c>
      <c r="R17">
        <v>0.21802666666666659</v>
      </c>
      <c r="S17">
        <v>0.21802666666666659</v>
      </c>
      <c r="T17">
        <v>34.638986666666668</v>
      </c>
      <c r="U17">
        <v>21.18333333333333</v>
      </c>
      <c r="V17">
        <v>754.10110149488582</v>
      </c>
      <c r="W17">
        <v>168</v>
      </c>
      <c r="X17">
        <v>9.4901333333333324E-2</v>
      </c>
      <c r="Y17">
        <v>34.638986666666668</v>
      </c>
      <c r="Z17">
        <v>3.9542222222222218E-3</v>
      </c>
    </row>
    <row r="18" spans="1:26" x14ac:dyDescent="0.25">
      <c r="A18" s="10">
        <v>1041</v>
      </c>
      <c r="B18" t="s">
        <v>10</v>
      </c>
      <c r="C18" t="s">
        <v>25</v>
      </c>
      <c r="D18">
        <v>8</v>
      </c>
      <c r="E18" t="s">
        <v>69</v>
      </c>
      <c r="F18" t="s">
        <v>40</v>
      </c>
      <c r="G18" t="s">
        <v>65</v>
      </c>
      <c r="H18" t="s">
        <v>41</v>
      </c>
      <c r="I18" t="s">
        <v>58</v>
      </c>
      <c r="J18">
        <v>54688</v>
      </c>
      <c r="K18" t="s">
        <v>14</v>
      </c>
      <c r="L18">
        <v>0.29978666666666659</v>
      </c>
      <c r="M18">
        <v>1.0083733333333329</v>
      </c>
      <c r="N18">
        <v>0.65407999999999999</v>
      </c>
      <c r="O18">
        <v>2.5345599999999999</v>
      </c>
      <c r="P18">
        <v>0.24528</v>
      </c>
      <c r="Q18">
        <v>35.293066666666661</v>
      </c>
      <c r="R18">
        <v>0.21802666666666659</v>
      </c>
      <c r="S18">
        <v>0.21802666666666659</v>
      </c>
      <c r="T18">
        <v>40.471200000000003</v>
      </c>
      <c r="U18">
        <v>24.75</v>
      </c>
      <c r="V18">
        <v>690.50505050505046</v>
      </c>
      <c r="W18">
        <v>168</v>
      </c>
      <c r="X18">
        <v>0.11088000000000001</v>
      </c>
      <c r="Y18">
        <v>40.471200000000003</v>
      </c>
      <c r="Z18">
        <v>4.62E-3</v>
      </c>
    </row>
    <row r="19" spans="1:26" x14ac:dyDescent="0.25">
      <c r="A19" s="10">
        <v>1042</v>
      </c>
      <c r="B19" t="s">
        <v>10</v>
      </c>
      <c r="C19" t="s">
        <v>25</v>
      </c>
      <c r="D19">
        <v>8</v>
      </c>
      <c r="E19" t="s">
        <v>69</v>
      </c>
      <c r="F19" t="s">
        <v>40</v>
      </c>
      <c r="G19" t="s">
        <v>65</v>
      </c>
      <c r="H19" t="s">
        <v>41</v>
      </c>
      <c r="I19" t="s">
        <v>59</v>
      </c>
      <c r="J19">
        <v>56704</v>
      </c>
      <c r="K19" t="s">
        <v>14</v>
      </c>
      <c r="L19">
        <v>0.29978666666666659</v>
      </c>
      <c r="M19">
        <v>0.92661333333333329</v>
      </c>
      <c r="N19">
        <v>0.73583999999999994</v>
      </c>
      <c r="O19">
        <v>2.4800533333333332</v>
      </c>
      <c r="P19">
        <v>0.24528</v>
      </c>
      <c r="Q19">
        <v>39.054026666666672</v>
      </c>
      <c r="R19">
        <v>0.24528</v>
      </c>
      <c r="S19">
        <v>0.21802666666666659</v>
      </c>
      <c r="T19">
        <v>44.204906666666673</v>
      </c>
      <c r="U19">
        <v>27.033333333333331</v>
      </c>
      <c r="V19">
        <v>655.48705302096164</v>
      </c>
      <c r="W19">
        <v>168</v>
      </c>
      <c r="X19">
        <v>0.1211093333333333</v>
      </c>
      <c r="Y19">
        <v>44.204906666666673</v>
      </c>
      <c r="Z19">
        <v>5.0462222222222219E-3</v>
      </c>
    </row>
    <row r="20" spans="1:26" x14ac:dyDescent="0.25">
      <c r="A20" s="10">
        <v>1043</v>
      </c>
      <c r="B20" t="s">
        <v>10</v>
      </c>
      <c r="C20" t="s">
        <v>25</v>
      </c>
      <c r="D20">
        <v>8</v>
      </c>
      <c r="E20" t="s">
        <v>69</v>
      </c>
      <c r="F20" t="s">
        <v>40</v>
      </c>
      <c r="G20" t="s">
        <v>65</v>
      </c>
      <c r="H20" t="s">
        <v>41</v>
      </c>
      <c r="I20" t="s">
        <v>60</v>
      </c>
      <c r="J20">
        <v>62781</v>
      </c>
      <c r="K20" t="s">
        <v>14</v>
      </c>
      <c r="L20">
        <v>0.35429333333333329</v>
      </c>
      <c r="M20">
        <v>0.89936000000000005</v>
      </c>
      <c r="N20">
        <v>0.65407999999999999</v>
      </c>
      <c r="O20">
        <v>2.6435733333333329</v>
      </c>
      <c r="P20">
        <v>0.24528</v>
      </c>
      <c r="Q20">
        <v>48.156640000000003</v>
      </c>
      <c r="R20">
        <v>0.24528</v>
      </c>
      <c r="S20">
        <v>0.21802666666666659</v>
      </c>
      <c r="T20">
        <v>53.416533333333319</v>
      </c>
      <c r="U20">
        <v>32.666666666666657</v>
      </c>
      <c r="V20">
        <v>600.58354591836735</v>
      </c>
      <c r="W20">
        <v>168</v>
      </c>
      <c r="X20">
        <v>0.14634666666666671</v>
      </c>
      <c r="Y20">
        <v>53.416533333333327</v>
      </c>
      <c r="Z20">
        <v>6.0977777777777766E-3</v>
      </c>
    </row>
    <row r="21" spans="1:26" x14ac:dyDescent="0.25">
      <c r="A21" s="10">
        <v>1044</v>
      </c>
      <c r="B21" t="s">
        <v>10</v>
      </c>
      <c r="C21" t="s">
        <v>25</v>
      </c>
      <c r="D21">
        <v>8</v>
      </c>
      <c r="E21" t="s">
        <v>69</v>
      </c>
      <c r="F21" t="s">
        <v>40</v>
      </c>
      <c r="G21" t="s">
        <v>65</v>
      </c>
      <c r="H21" t="s">
        <v>41</v>
      </c>
      <c r="I21" t="s">
        <v>61</v>
      </c>
      <c r="J21">
        <v>80040</v>
      </c>
      <c r="K21" t="s">
        <v>14</v>
      </c>
      <c r="L21">
        <v>0.49056</v>
      </c>
      <c r="M21">
        <v>1.0083733333333329</v>
      </c>
      <c r="N21">
        <v>0.7630933333333334</v>
      </c>
      <c r="O21">
        <v>3.052373333333334</v>
      </c>
      <c r="P21">
        <v>0.29978666666666659</v>
      </c>
      <c r="Q21">
        <v>75.573493333333332</v>
      </c>
      <c r="R21">
        <v>0.29978666666666659</v>
      </c>
      <c r="S21">
        <v>0.29978666666666659</v>
      </c>
      <c r="T21">
        <v>81.787253333333325</v>
      </c>
      <c r="U21">
        <v>50.016666666666673</v>
      </c>
      <c r="V21">
        <v>500.08330556481172</v>
      </c>
      <c r="W21">
        <v>168</v>
      </c>
      <c r="X21">
        <v>0.22407466666666659</v>
      </c>
      <c r="Y21">
        <v>81.787253333333325</v>
      </c>
      <c r="Z21">
        <v>9.3364444444444441E-3</v>
      </c>
    </row>
    <row r="22" spans="1:26" x14ac:dyDescent="0.25">
      <c r="A22" s="10">
        <v>1045</v>
      </c>
      <c r="B22" t="s">
        <v>10</v>
      </c>
      <c r="C22" t="s">
        <v>25</v>
      </c>
      <c r="D22">
        <v>8</v>
      </c>
      <c r="E22" t="s">
        <v>69</v>
      </c>
      <c r="F22" t="s">
        <v>40</v>
      </c>
      <c r="G22" t="s">
        <v>65</v>
      </c>
      <c r="H22" t="s">
        <v>41</v>
      </c>
      <c r="I22" t="s">
        <v>62</v>
      </c>
      <c r="J22">
        <v>83963</v>
      </c>
      <c r="K22" t="s">
        <v>14</v>
      </c>
      <c r="L22">
        <v>0.62682666666666664</v>
      </c>
      <c r="M22">
        <v>0.95386666666666664</v>
      </c>
      <c r="N22">
        <v>0.81759999999999999</v>
      </c>
      <c r="O22">
        <v>2.997866666666666</v>
      </c>
      <c r="P22">
        <v>0.32704</v>
      </c>
      <c r="Q22">
        <v>73.011679999999998</v>
      </c>
      <c r="R22">
        <v>0.32704</v>
      </c>
      <c r="S22">
        <v>0.29978666666666659</v>
      </c>
      <c r="T22">
        <v>79.361706666666649</v>
      </c>
      <c r="U22">
        <v>48.533333333333331</v>
      </c>
      <c r="V22">
        <v>540.62714629120887</v>
      </c>
      <c r="W22">
        <v>168</v>
      </c>
      <c r="X22">
        <v>0.21742933333333331</v>
      </c>
      <c r="Y22">
        <v>79.361706666666663</v>
      </c>
      <c r="Z22">
        <v>9.0595555555555551E-3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6670-5C81-4891-A262-42D25EDF9B48}">
  <dimension ref="A1:Y22"/>
  <sheetViews>
    <sheetView workbookViewId="0">
      <selection activeCell="A2" sqref="A2:A22"/>
    </sheetView>
  </sheetViews>
  <sheetFormatPr defaultRowHeight="15" x14ac:dyDescent="0.25"/>
  <cols>
    <col min="13" max="13" width="14.140625" customWidth="1"/>
  </cols>
  <sheetData>
    <row r="1" spans="1:25" x14ac:dyDescent="0.25">
      <c r="A1" s="10" t="s">
        <v>26</v>
      </c>
      <c r="B1" s="10" t="s">
        <v>0</v>
      </c>
      <c r="C1" s="10" t="s">
        <v>1</v>
      </c>
      <c r="D1" s="10" t="s">
        <v>2</v>
      </c>
      <c r="E1" s="10" t="s">
        <v>29</v>
      </c>
      <c r="F1" s="10" t="s">
        <v>4</v>
      </c>
      <c r="G1" s="10" t="s">
        <v>5</v>
      </c>
      <c r="H1" s="10" t="s">
        <v>6</v>
      </c>
      <c r="I1" s="10" t="s">
        <v>27</v>
      </c>
      <c r="J1" s="10" t="s">
        <v>8</v>
      </c>
      <c r="K1" s="10" t="s">
        <v>9</v>
      </c>
      <c r="L1" s="10" t="s">
        <v>30</v>
      </c>
      <c r="M1" s="10" t="s">
        <v>31</v>
      </c>
      <c r="N1" s="10" t="s">
        <v>32</v>
      </c>
      <c r="O1" s="10" t="s">
        <v>33</v>
      </c>
      <c r="P1" s="10" t="s">
        <v>34</v>
      </c>
      <c r="Q1" s="10" t="s">
        <v>35</v>
      </c>
      <c r="R1" s="10" t="s">
        <v>36</v>
      </c>
      <c r="S1" s="10" t="s">
        <v>37</v>
      </c>
      <c r="T1" s="10" t="s">
        <v>15</v>
      </c>
      <c r="U1" s="10" t="s">
        <v>24</v>
      </c>
      <c r="V1" s="10" t="s">
        <v>23</v>
      </c>
      <c r="W1" s="10" t="s">
        <v>7</v>
      </c>
      <c r="X1" s="10" t="s">
        <v>38</v>
      </c>
      <c r="Y1" s="10" t="s">
        <v>39</v>
      </c>
    </row>
    <row r="2" spans="1:25" x14ac:dyDescent="0.25">
      <c r="A2" s="10">
        <v>1004</v>
      </c>
      <c r="B2" t="s">
        <v>10</v>
      </c>
      <c r="C2" t="s">
        <v>63</v>
      </c>
      <c r="D2">
        <v>4</v>
      </c>
      <c r="E2" t="s">
        <v>64</v>
      </c>
      <c r="F2" t="s">
        <v>40</v>
      </c>
      <c r="G2" t="s">
        <v>65</v>
      </c>
      <c r="H2" t="s">
        <v>66</v>
      </c>
      <c r="I2" t="s">
        <v>42</v>
      </c>
      <c r="J2">
        <v>10999</v>
      </c>
      <c r="K2" t="s">
        <v>14</v>
      </c>
      <c r="L2">
        <v>5.4506666666666662E-2</v>
      </c>
      <c r="M2">
        <v>2.7253333333333331E-2</v>
      </c>
      <c r="N2">
        <v>1.7714666666666661</v>
      </c>
      <c r="O2">
        <v>4.088E-2</v>
      </c>
      <c r="P2">
        <v>2.3710399999999998</v>
      </c>
      <c r="Q2">
        <v>6.8133333333333324E-2</v>
      </c>
      <c r="R2">
        <v>2.7253333333333331E-2</v>
      </c>
      <c r="S2">
        <v>4.3605333333333327</v>
      </c>
      <c r="T2">
        <v>5.333333333333333</v>
      </c>
      <c r="U2">
        <v>1288.9453125</v>
      </c>
      <c r="V2">
        <v>84</v>
      </c>
      <c r="W2">
        <v>1.1946666666666659E-2</v>
      </c>
      <c r="X2">
        <v>4.3605333333333327</v>
      </c>
      <c r="Y2">
        <v>4.9777777777777765E-4</v>
      </c>
    </row>
    <row r="3" spans="1:25" x14ac:dyDescent="0.25">
      <c r="A3" s="10">
        <v>1005</v>
      </c>
      <c r="B3" t="s">
        <v>10</v>
      </c>
      <c r="C3" t="s">
        <v>63</v>
      </c>
      <c r="D3">
        <v>4</v>
      </c>
      <c r="E3" t="s">
        <v>64</v>
      </c>
      <c r="F3" t="s">
        <v>40</v>
      </c>
      <c r="G3" t="s">
        <v>65</v>
      </c>
      <c r="H3" t="s">
        <v>66</v>
      </c>
      <c r="I3" t="s">
        <v>43</v>
      </c>
      <c r="J3">
        <v>13758</v>
      </c>
      <c r="K3" t="s">
        <v>14</v>
      </c>
      <c r="L3">
        <v>4.088E-2</v>
      </c>
      <c r="M3">
        <v>4.088E-2</v>
      </c>
      <c r="N3">
        <v>1.7033333333333329</v>
      </c>
      <c r="O3">
        <v>5.4506666666666662E-2</v>
      </c>
      <c r="P3">
        <v>3.0659999999999998</v>
      </c>
      <c r="Q3">
        <v>5.4506666666666662E-2</v>
      </c>
      <c r="R3">
        <v>4.088E-2</v>
      </c>
      <c r="S3">
        <v>5.0009866666666651</v>
      </c>
      <c r="T3">
        <v>6.1166666666666663</v>
      </c>
      <c r="U3">
        <v>1405.790190735695</v>
      </c>
      <c r="V3">
        <v>84</v>
      </c>
      <c r="W3">
        <v>1.3701333333333329E-2</v>
      </c>
      <c r="X3">
        <v>5.000986666666666</v>
      </c>
      <c r="Y3">
        <v>5.7088888888888879E-4</v>
      </c>
    </row>
    <row r="4" spans="1:25" x14ac:dyDescent="0.25">
      <c r="A4" s="10">
        <v>1006</v>
      </c>
      <c r="B4" t="s">
        <v>10</v>
      </c>
      <c r="C4" t="s">
        <v>63</v>
      </c>
      <c r="D4">
        <v>4</v>
      </c>
      <c r="E4" t="s">
        <v>64</v>
      </c>
      <c r="F4" t="s">
        <v>40</v>
      </c>
      <c r="G4" t="s">
        <v>65</v>
      </c>
      <c r="H4" t="s">
        <v>66</v>
      </c>
      <c r="I4" t="s">
        <v>44</v>
      </c>
      <c r="J4">
        <v>13888</v>
      </c>
      <c r="K4" t="s">
        <v>14</v>
      </c>
      <c r="L4">
        <v>4.088E-2</v>
      </c>
      <c r="M4">
        <v>1.3626666666666671E-2</v>
      </c>
      <c r="N4">
        <v>1.3626666666666669</v>
      </c>
      <c r="O4">
        <v>4.088E-2</v>
      </c>
      <c r="P4">
        <v>3.1886399999999999</v>
      </c>
      <c r="Q4">
        <v>5.4506666666666662E-2</v>
      </c>
      <c r="R4">
        <v>4.088E-2</v>
      </c>
      <c r="S4">
        <v>4.7420799999999996</v>
      </c>
      <c r="T4">
        <v>5.8</v>
      </c>
      <c r="U4">
        <v>1496.5517241379309</v>
      </c>
      <c r="V4">
        <v>84</v>
      </c>
      <c r="W4">
        <v>1.2992E-2</v>
      </c>
      <c r="X4">
        <v>4.7420799999999996</v>
      </c>
      <c r="Y4">
        <v>5.4133333333333323E-4</v>
      </c>
    </row>
    <row r="5" spans="1:25" x14ac:dyDescent="0.25">
      <c r="A5" s="10">
        <v>1007</v>
      </c>
      <c r="B5" t="s">
        <v>10</v>
      </c>
      <c r="C5" t="s">
        <v>63</v>
      </c>
      <c r="D5">
        <v>4</v>
      </c>
      <c r="E5" t="s">
        <v>64</v>
      </c>
      <c r="F5" t="s">
        <v>40</v>
      </c>
      <c r="G5" t="s">
        <v>65</v>
      </c>
      <c r="H5" t="s">
        <v>66</v>
      </c>
      <c r="I5" t="s">
        <v>45</v>
      </c>
      <c r="J5">
        <v>19194</v>
      </c>
      <c r="K5" t="s">
        <v>14</v>
      </c>
      <c r="L5">
        <v>6.8133333333333324E-2</v>
      </c>
      <c r="M5">
        <v>4.088E-2</v>
      </c>
      <c r="N5">
        <v>1.3626666666666669</v>
      </c>
      <c r="O5">
        <v>5.4506666666666662E-2</v>
      </c>
      <c r="P5">
        <v>4.5104266666666657</v>
      </c>
      <c r="Q5">
        <v>8.1759999999999999E-2</v>
      </c>
      <c r="R5">
        <v>5.4506666666666662E-2</v>
      </c>
      <c r="S5">
        <v>6.1728800000000001</v>
      </c>
      <c r="T5">
        <v>7.55</v>
      </c>
      <c r="U5">
        <v>1588.9072847682121</v>
      </c>
      <c r="V5">
        <v>84</v>
      </c>
      <c r="W5">
        <v>1.6912E-2</v>
      </c>
      <c r="X5">
        <v>6.1728799999999984</v>
      </c>
      <c r="Y5">
        <v>7.0466666666666648E-4</v>
      </c>
    </row>
    <row r="6" spans="1:25" x14ac:dyDescent="0.25">
      <c r="A6" s="10">
        <v>1008</v>
      </c>
      <c r="B6" t="s">
        <v>10</v>
      </c>
      <c r="C6" t="s">
        <v>63</v>
      </c>
      <c r="D6">
        <v>4</v>
      </c>
      <c r="E6" t="s">
        <v>64</v>
      </c>
      <c r="F6" t="s">
        <v>40</v>
      </c>
      <c r="G6" t="s">
        <v>65</v>
      </c>
      <c r="H6" t="s">
        <v>66</v>
      </c>
      <c r="I6" t="s">
        <v>46</v>
      </c>
      <c r="J6">
        <v>25482</v>
      </c>
      <c r="K6" t="s">
        <v>14</v>
      </c>
      <c r="L6">
        <v>8.1759999999999999E-2</v>
      </c>
      <c r="M6">
        <v>2.7253333333333331E-2</v>
      </c>
      <c r="N6">
        <v>1.5806933333333331</v>
      </c>
      <c r="O6">
        <v>6.8133333333333324E-2</v>
      </c>
      <c r="P6">
        <v>8.4349066666666666</v>
      </c>
      <c r="Q6">
        <v>8.1759999999999999E-2</v>
      </c>
      <c r="R6">
        <v>8.1759999999999999E-2</v>
      </c>
      <c r="S6">
        <v>10.35626666666667</v>
      </c>
      <c r="T6">
        <v>12.66666666666667</v>
      </c>
      <c r="U6">
        <v>1257.3355263157889</v>
      </c>
      <c r="V6">
        <v>84</v>
      </c>
      <c r="W6">
        <v>2.837333333333333E-2</v>
      </c>
      <c r="X6">
        <v>10.35626666666667</v>
      </c>
      <c r="Y6">
        <v>1.1822222222222221E-3</v>
      </c>
    </row>
    <row r="7" spans="1:25" x14ac:dyDescent="0.25">
      <c r="A7" s="10">
        <v>1009</v>
      </c>
      <c r="B7" t="s">
        <v>10</v>
      </c>
      <c r="C7" t="s">
        <v>63</v>
      </c>
      <c r="D7">
        <v>4</v>
      </c>
      <c r="E7" t="s">
        <v>64</v>
      </c>
      <c r="F7" t="s">
        <v>40</v>
      </c>
      <c r="G7" t="s">
        <v>65</v>
      </c>
      <c r="H7" t="s">
        <v>66</v>
      </c>
      <c r="I7" t="s">
        <v>47</v>
      </c>
      <c r="J7">
        <v>30052</v>
      </c>
      <c r="K7" t="s">
        <v>14</v>
      </c>
      <c r="L7">
        <v>9.5386666666666675E-2</v>
      </c>
      <c r="M7">
        <v>1.3626666666666671E-2</v>
      </c>
      <c r="N7">
        <v>1.526186666666667</v>
      </c>
      <c r="O7">
        <v>6.8133333333333324E-2</v>
      </c>
      <c r="P7">
        <v>10.66968</v>
      </c>
      <c r="Q7">
        <v>9.5386666666666675E-2</v>
      </c>
      <c r="R7">
        <v>0.1090133333333333</v>
      </c>
      <c r="S7">
        <v>12.577413333333331</v>
      </c>
      <c r="T7">
        <v>15.383333333333329</v>
      </c>
      <c r="U7">
        <v>1220.9642470205849</v>
      </c>
      <c r="V7">
        <v>84</v>
      </c>
      <c r="W7">
        <v>3.4458666666666672E-2</v>
      </c>
      <c r="X7">
        <v>12.577413333333331</v>
      </c>
      <c r="Y7">
        <v>1.435777777777778E-3</v>
      </c>
    </row>
    <row r="8" spans="1:25" x14ac:dyDescent="0.25">
      <c r="A8" s="10">
        <v>1010</v>
      </c>
      <c r="B8" t="s">
        <v>10</v>
      </c>
      <c r="C8" t="s">
        <v>63</v>
      </c>
      <c r="D8">
        <v>4</v>
      </c>
      <c r="E8" t="s">
        <v>64</v>
      </c>
      <c r="F8" t="s">
        <v>40</v>
      </c>
      <c r="G8" t="s">
        <v>65</v>
      </c>
      <c r="H8" t="s">
        <v>66</v>
      </c>
      <c r="I8" t="s">
        <v>48</v>
      </c>
      <c r="J8">
        <v>30199</v>
      </c>
      <c r="K8" t="s">
        <v>14</v>
      </c>
      <c r="L8">
        <v>8.1759999999999999E-2</v>
      </c>
      <c r="M8">
        <v>1.3626666666666671E-2</v>
      </c>
      <c r="N8">
        <v>1.458053333333333</v>
      </c>
      <c r="O8">
        <v>6.8133333333333324E-2</v>
      </c>
      <c r="P8">
        <v>11.037599999999999</v>
      </c>
      <c r="Q8">
        <v>9.5386666666666675E-2</v>
      </c>
      <c r="R8">
        <v>9.5386666666666675E-2</v>
      </c>
      <c r="S8">
        <v>12.849946666666661</v>
      </c>
      <c r="T8">
        <v>15.71666666666667</v>
      </c>
      <c r="U8">
        <v>1200.914634146342</v>
      </c>
      <c r="V8">
        <v>84</v>
      </c>
      <c r="W8">
        <v>3.5205333333333332E-2</v>
      </c>
      <c r="X8">
        <v>12.84994666666667</v>
      </c>
      <c r="Y8">
        <v>1.4668888888888891E-3</v>
      </c>
    </row>
    <row r="9" spans="1:25" x14ac:dyDescent="0.25">
      <c r="A9" s="10">
        <v>1011</v>
      </c>
      <c r="B9" t="s">
        <v>10</v>
      </c>
      <c r="C9" t="s">
        <v>63</v>
      </c>
      <c r="D9">
        <v>4</v>
      </c>
      <c r="E9" t="s">
        <v>64</v>
      </c>
      <c r="F9" t="s">
        <v>40</v>
      </c>
      <c r="G9" t="s">
        <v>65</v>
      </c>
      <c r="H9" t="s">
        <v>66</v>
      </c>
      <c r="I9" t="s">
        <v>49</v>
      </c>
      <c r="J9">
        <v>32532</v>
      </c>
      <c r="K9" t="s">
        <v>14</v>
      </c>
      <c r="L9">
        <v>9.5386666666666675E-2</v>
      </c>
      <c r="M9">
        <v>2.7253333333333331E-2</v>
      </c>
      <c r="N9">
        <v>1.4444266666666661</v>
      </c>
      <c r="O9">
        <v>6.8133333333333324E-2</v>
      </c>
      <c r="P9">
        <v>12.98621333333333</v>
      </c>
      <c r="Q9">
        <v>0.1090133333333333</v>
      </c>
      <c r="R9">
        <v>9.5386666666666675E-2</v>
      </c>
      <c r="S9">
        <v>14.825813333333331</v>
      </c>
      <c r="T9">
        <v>18.133333333333329</v>
      </c>
      <c r="U9">
        <v>1121.2775735294119</v>
      </c>
      <c r="V9">
        <v>84</v>
      </c>
      <c r="W9">
        <v>4.0618666666666657E-2</v>
      </c>
      <c r="X9">
        <v>14.825813333333331</v>
      </c>
      <c r="Y9">
        <v>1.6924444444444439E-3</v>
      </c>
    </row>
    <row r="10" spans="1:25" x14ac:dyDescent="0.25">
      <c r="A10" s="10">
        <v>1012</v>
      </c>
      <c r="B10" t="s">
        <v>10</v>
      </c>
      <c r="C10" t="s">
        <v>63</v>
      </c>
      <c r="D10">
        <v>4</v>
      </c>
      <c r="E10" t="s">
        <v>64</v>
      </c>
      <c r="F10" t="s">
        <v>40</v>
      </c>
      <c r="G10" t="s">
        <v>65</v>
      </c>
      <c r="H10" t="s">
        <v>66</v>
      </c>
      <c r="I10" t="s">
        <v>50</v>
      </c>
      <c r="J10">
        <v>32760</v>
      </c>
      <c r="K10" t="s">
        <v>14</v>
      </c>
      <c r="L10">
        <v>8.1759999999999999E-2</v>
      </c>
      <c r="M10">
        <v>1.3626666666666671E-2</v>
      </c>
      <c r="N10">
        <v>1.4444266666666661</v>
      </c>
      <c r="O10">
        <v>8.1759999999999999E-2</v>
      </c>
      <c r="P10">
        <v>12.98621333333333</v>
      </c>
      <c r="Q10">
        <v>0.1090133333333333</v>
      </c>
      <c r="R10">
        <v>0.1090133333333333</v>
      </c>
      <c r="S10">
        <v>14.825813333333331</v>
      </c>
      <c r="T10">
        <v>18.133333333333329</v>
      </c>
      <c r="U10">
        <v>1129.1360294117651</v>
      </c>
      <c r="V10">
        <v>84</v>
      </c>
      <c r="W10">
        <v>4.0618666666666657E-2</v>
      </c>
      <c r="X10">
        <v>14.825813333333331</v>
      </c>
      <c r="Y10">
        <v>1.6924444444444439E-3</v>
      </c>
    </row>
    <row r="11" spans="1:25" x14ac:dyDescent="0.25">
      <c r="A11" s="10">
        <v>1013</v>
      </c>
      <c r="B11" t="s">
        <v>10</v>
      </c>
      <c r="C11" t="s">
        <v>63</v>
      </c>
      <c r="D11">
        <v>4</v>
      </c>
      <c r="E11" t="s">
        <v>64</v>
      </c>
      <c r="F11" t="s">
        <v>40</v>
      </c>
      <c r="G11" t="s">
        <v>65</v>
      </c>
      <c r="H11" t="s">
        <v>66</v>
      </c>
      <c r="I11" t="s">
        <v>51</v>
      </c>
      <c r="J11">
        <v>33779</v>
      </c>
      <c r="K11" t="s">
        <v>14</v>
      </c>
      <c r="L11">
        <v>9.5386666666666675E-2</v>
      </c>
      <c r="M11">
        <v>2.7253333333333331E-2</v>
      </c>
      <c r="N11">
        <v>1.4444266666666661</v>
      </c>
      <c r="O11">
        <v>8.1759999999999999E-2</v>
      </c>
      <c r="P11">
        <v>13.34050666666667</v>
      </c>
      <c r="Q11">
        <v>0.1090133333333333</v>
      </c>
      <c r="R11">
        <v>9.5386666666666675E-2</v>
      </c>
      <c r="S11">
        <v>15.193733333333331</v>
      </c>
      <c r="T11">
        <v>18.583333333333329</v>
      </c>
      <c r="U11">
        <v>1136.0650224215251</v>
      </c>
      <c r="V11">
        <v>84</v>
      </c>
      <c r="W11">
        <v>4.1626666666666659E-2</v>
      </c>
      <c r="X11">
        <v>15.193733333333331</v>
      </c>
      <c r="Y11">
        <v>1.7344444444444441E-3</v>
      </c>
    </row>
    <row r="12" spans="1:25" x14ac:dyDescent="0.25">
      <c r="A12" s="10">
        <v>1014</v>
      </c>
      <c r="B12" t="s">
        <v>10</v>
      </c>
      <c r="C12" t="s">
        <v>63</v>
      </c>
      <c r="D12">
        <v>4</v>
      </c>
      <c r="E12" t="s">
        <v>64</v>
      </c>
      <c r="F12" t="s">
        <v>40</v>
      </c>
      <c r="G12" t="s">
        <v>65</v>
      </c>
      <c r="H12" t="s">
        <v>66</v>
      </c>
      <c r="I12" t="s">
        <v>52</v>
      </c>
      <c r="J12">
        <v>34201</v>
      </c>
      <c r="K12" t="s">
        <v>14</v>
      </c>
      <c r="L12">
        <v>9.5386666666666675E-2</v>
      </c>
      <c r="M12">
        <v>2.7253333333333331E-2</v>
      </c>
      <c r="N12">
        <v>1.5534399999999999</v>
      </c>
      <c r="O12">
        <v>8.1759999999999999E-2</v>
      </c>
      <c r="P12">
        <v>16.215733333333329</v>
      </c>
      <c r="Q12">
        <v>0.1090133333333333</v>
      </c>
      <c r="R12">
        <v>0.1090133333333333</v>
      </c>
      <c r="S12">
        <v>18.191600000000001</v>
      </c>
      <c r="T12">
        <v>22.25</v>
      </c>
      <c r="U12">
        <v>960.70224719101122</v>
      </c>
      <c r="V12">
        <v>84</v>
      </c>
      <c r="W12">
        <v>4.9840000000000002E-2</v>
      </c>
      <c r="X12">
        <v>18.191600000000001</v>
      </c>
      <c r="Y12">
        <v>2.0766666666666672E-3</v>
      </c>
    </row>
    <row r="13" spans="1:25" x14ac:dyDescent="0.25">
      <c r="A13" s="10">
        <v>1015</v>
      </c>
      <c r="B13" t="s">
        <v>10</v>
      </c>
      <c r="C13" t="s">
        <v>63</v>
      </c>
      <c r="D13">
        <v>4</v>
      </c>
      <c r="E13" t="s">
        <v>64</v>
      </c>
      <c r="F13" t="s">
        <v>40</v>
      </c>
      <c r="G13" t="s">
        <v>65</v>
      </c>
      <c r="H13" t="s">
        <v>66</v>
      </c>
      <c r="I13" t="s">
        <v>53</v>
      </c>
      <c r="J13">
        <v>34641</v>
      </c>
      <c r="K13" t="s">
        <v>14</v>
      </c>
      <c r="L13">
        <v>9.5386666666666675E-2</v>
      </c>
      <c r="M13">
        <v>1.3626666666666671E-2</v>
      </c>
      <c r="N13">
        <v>1.5125599999999999</v>
      </c>
      <c r="O13">
        <v>8.1759999999999999E-2</v>
      </c>
      <c r="P13">
        <v>13.29962666666666</v>
      </c>
      <c r="Q13">
        <v>9.5386666666666675E-2</v>
      </c>
      <c r="R13">
        <v>0.12264</v>
      </c>
      <c r="S13">
        <v>15.22098666666667</v>
      </c>
      <c r="T13">
        <v>18.616666666666671</v>
      </c>
      <c r="U13">
        <v>1162.970008952552</v>
      </c>
      <c r="V13">
        <v>84</v>
      </c>
      <c r="W13">
        <v>4.1701333333333333E-2</v>
      </c>
      <c r="X13">
        <v>15.22098666666666</v>
      </c>
      <c r="Y13">
        <v>1.7375555555555549E-3</v>
      </c>
    </row>
    <row r="14" spans="1:25" x14ac:dyDescent="0.25">
      <c r="A14" s="10">
        <v>1016</v>
      </c>
      <c r="B14" t="s">
        <v>10</v>
      </c>
      <c r="C14" t="s">
        <v>63</v>
      </c>
      <c r="D14">
        <v>4</v>
      </c>
      <c r="E14" t="s">
        <v>64</v>
      </c>
      <c r="F14" t="s">
        <v>40</v>
      </c>
      <c r="G14" t="s">
        <v>65</v>
      </c>
      <c r="H14" t="s">
        <v>66</v>
      </c>
      <c r="I14" t="s">
        <v>54</v>
      </c>
      <c r="J14">
        <v>36413</v>
      </c>
      <c r="K14" t="s">
        <v>14</v>
      </c>
      <c r="L14">
        <v>9.5386666666666675E-2</v>
      </c>
      <c r="M14">
        <v>1.3626666666666671E-2</v>
      </c>
      <c r="N14">
        <v>1.5806933333333331</v>
      </c>
      <c r="O14">
        <v>8.1759999999999999E-2</v>
      </c>
      <c r="P14">
        <v>15.26186666666667</v>
      </c>
      <c r="Q14">
        <v>0.12264</v>
      </c>
      <c r="R14">
        <v>0.1090133333333333</v>
      </c>
      <c r="S14">
        <v>17.264986666666669</v>
      </c>
      <c r="T14">
        <v>21.116666666666671</v>
      </c>
      <c r="U14">
        <v>1077.732833464878</v>
      </c>
      <c r="V14">
        <v>84</v>
      </c>
      <c r="W14">
        <v>4.7301333333333327E-2</v>
      </c>
      <c r="X14">
        <v>17.264986666666669</v>
      </c>
      <c r="Y14">
        <v>1.9708888888888892E-3</v>
      </c>
    </row>
    <row r="15" spans="1:25" x14ac:dyDescent="0.25">
      <c r="A15" s="10">
        <v>1017</v>
      </c>
      <c r="B15" t="s">
        <v>10</v>
      </c>
      <c r="C15" t="s">
        <v>63</v>
      </c>
      <c r="D15">
        <v>4</v>
      </c>
      <c r="E15" t="s">
        <v>64</v>
      </c>
      <c r="F15" t="s">
        <v>40</v>
      </c>
      <c r="G15" t="s">
        <v>65</v>
      </c>
      <c r="H15" t="s">
        <v>66</v>
      </c>
      <c r="I15" t="s">
        <v>55</v>
      </c>
      <c r="J15">
        <v>39578</v>
      </c>
      <c r="K15" t="s">
        <v>14</v>
      </c>
      <c r="L15">
        <v>0.1090133333333333</v>
      </c>
      <c r="M15">
        <v>2.7253333333333331E-2</v>
      </c>
      <c r="N15">
        <v>1.6352</v>
      </c>
      <c r="O15">
        <v>8.1759999999999999E-2</v>
      </c>
      <c r="P15">
        <v>18.300613333333331</v>
      </c>
      <c r="Q15">
        <v>0.13626666666666659</v>
      </c>
      <c r="R15">
        <v>0.12264</v>
      </c>
      <c r="S15">
        <v>20.41274666666666</v>
      </c>
      <c r="T15">
        <v>24.966666666666669</v>
      </c>
      <c r="U15">
        <v>990.77102803738319</v>
      </c>
      <c r="V15">
        <v>84</v>
      </c>
      <c r="W15">
        <v>5.5925333333333327E-2</v>
      </c>
      <c r="X15">
        <v>20.412746666666671</v>
      </c>
      <c r="Y15">
        <v>2.3302222222222218E-3</v>
      </c>
    </row>
    <row r="16" spans="1:25" x14ac:dyDescent="0.25">
      <c r="A16" s="10">
        <v>1018</v>
      </c>
      <c r="B16" t="s">
        <v>10</v>
      </c>
      <c r="C16" t="s">
        <v>63</v>
      </c>
      <c r="D16">
        <v>4</v>
      </c>
      <c r="E16" t="s">
        <v>64</v>
      </c>
      <c r="F16" t="s">
        <v>40</v>
      </c>
      <c r="G16" t="s">
        <v>65</v>
      </c>
      <c r="H16" t="s">
        <v>66</v>
      </c>
      <c r="I16" t="s">
        <v>56</v>
      </c>
      <c r="J16">
        <v>40803</v>
      </c>
      <c r="K16" t="s">
        <v>14</v>
      </c>
      <c r="L16">
        <v>9.5386666666666675E-2</v>
      </c>
      <c r="M16">
        <v>2.7253333333333331E-2</v>
      </c>
      <c r="N16">
        <v>1.5534399999999999</v>
      </c>
      <c r="O16">
        <v>9.5386666666666675E-2</v>
      </c>
      <c r="P16">
        <v>19.922186666666668</v>
      </c>
      <c r="Q16">
        <v>0.12264</v>
      </c>
      <c r="R16">
        <v>0.13626666666666659</v>
      </c>
      <c r="S16">
        <v>21.952559999999998</v>
      </c>
      <c r="T16">
        <v>26.85</v>
      </c>
      <c r="U16">
        <v>949.79050279329601</v>
      </c>
      <c r="V16">
        <v>84</v>
      </c>
      <c r="W16">
        <v>6.0144000000000003E-2</v>
      </c>
      <c r="X16">
        <v>21.952559999999998</v>
      </c>
      <c r="Y16">
        <v>2.506E-3</v>
      </c>
    </row>
    <row r="17" spans="1:25" x14ac:dyDescent="0.25">
      <c r="A17" s="10">
        <v>1019</v>
      </c>
      <c r="B17" t="s">
        <v>10</v>
      </c>
      <c r="C17" t="s">
        <v>63</v>
      </c>
      <c r="D17">
        <v>4</v>
      </c>
      <c r="E17" t="s">
        <v>64</v>
      </c>
      <c r="F17" t="s">
        <v>40</v>
      </c>
      <c r="G17" t="s">
        <v>65</v>
      </c>
      <c r="H17" t="s">
        <v>66</v>
      </c>
      <c r="I17" t="s">
        <v>57</v>
      </c>
      <c r="J17">
        <v>51118</v>
      </c>
      <c r="K17" t="s">
        <v>14</v>
      </c>
      <c r="L17">
        <v>0.12264</v>
      </c>
      <c r="M17">
        <v>2.7253333333333331E-2</v>
      </c>
      <c r="N17">
        <v>1.853226666666667</v>
      </c>
      <c r="O17">
        <v>0.1090133333333333</v>
      </c>
      <c r="P17">
        <v>26.244959999999999</v>
      </c>
      <c r="Q17">
        <v>0.16352</v>
      </c>
      <c r="R17">
        <v>0.1771466666666667</v>
      </c>
      <c r="S17">
        <v>28.697759999999999</v>
      </c>
      <c r="T17">
        <v>35.1</v>
      </c>
      <c r="U17">
        <v>910.22079772079758</v>
      </c>
      <c r="V17">
        <v>84</v>
      </c>
      <c r="W17">
        <v>7.8623999999999999E-2</v>
      </c>
      <c r="X17">
        <v>28.697759999999999</v>
      </c>
      <c r="Y17">
        <v>3.2759999999999998E-3</v>
      </c>
    </row>
    <row r="18" spans="1:25" x14ac:dyDescent="0.25">
      <c r="A18" s="10">
        <v>1020</v>
      </c>
      <c r="B18" t="s">
        <v>10</v>
      </c>
      <c r="C18" t="s">
        <v>63</v>
      </c>
      <c r="D18">
        <v>4</v>
      </c>
      <c r="E18" t="s">
        <v>64</v>
      </c>
      <c r="F18" t="s">
        <v>40</v>
      </c>
      <c r="G18" t="s">
        <v>65</v>
      </c>
      <c r="H18" t="s">
        <v>66</v>
      </c>
      <c r="I18" t="s">
        <v>58</v>
      </c>
      <c r="J18">
        <v>54688</v>
      </c>
      <c r="K18" t="s">
        <v>14</v>
      </c>
      <c r="L18">
        <v>0.1498933333333333</v>
      </c>
      <c r="M18">
        <v>1.3626666666666671E-2</v>
      </c>
      <c r="N18">
        <v>1.8395999999999999</v>
      </c>
      <c r="O18">
        <v>0.1090133333333333</v>
      </c>
      <c r="P18">
        <v>31.00066666666666</v>
      </c>
      <c r="Q18">
        <v>0.16352</v>
      </c>
      <c r="R18">
        <v>0.1771466666666667</v>
      </c>
      <c r="S18">
        <v>33.453466666666657</v>
      </c>
      <c r="T18">
        <v>40.916666666666657</v>
      </c>
      <c r="U18">
        <v>835.35641547861508</v>
      </c>
      <c r="V18">
        <v>84</v>
      </c>
      <c r="W18">
        <v>9.1653333333333309E-2</v>
      </c>
      <c r="X18">
        <v>33.453466666666657</v>
      </c>
      <c r="Y18">
        <v>3.8188888888888882E-3</v>
      </c>
    </row>
    <row r="19" spans="1:25" x14ac:dyDescent="0.25">
      <c r="A19" s="10">
        <v>1021</v>
      </c>
      <c r="B19" t="s">
        <v>10</v>
      </c>
      <c r="C19" t="s">
        <v>63</v>
      </c>
      <c r="D19">
        <v>4</v>
      </c>
      <c r="E19" t="s">
        <v>64</v>
      </c>
      <c r="F19" t="s">
        <v>40</v>
      </c>
      <c r="G19" t="s">
        <v>65</v>
      </c>
      <c r="H19" t="s">
        <v>66</v>
      </c>
      <c r="I19" t="s">
        <v>59</v>
      </c>
      <c r="J19">
        <v>56704</v>
      </c>
      <c r="K19" t="s">
        <v>14</v>
      </c>
      <c r="L19">
        <v>0.13626666666666659</v>
      </c>
      <c r="M19">
        <v>1.3626666666666671E-2</v>
      </c>
      <c r="N19">
        <v>1.9077333333333331</v>
      </c>
      <c r="O19">
        <v>0.1090133333333333</v>
      </c>
      <c r="P19">
        <v>34.625360000000001</v>
      </c>
      <c r="Q19">
        <v>0.1771466666666667</v>
      </c>
      <c r="R19">
        <v>0.1771466666666667</v>
      </c>
      <c r="S19">
        <v>37.146293333333332</v>
      </c>
      <c r="T19">
        <v>45.43333333333333</v>
      </c>
      <c r="U19">
        <v>780.04402054292007</v>
      </c>
      <c r="V19">
        <v>84</v>
      </c>
      <c r="W19">
        <v>0.10177066666666661</v>
      </c>
      <c r="X19">
        <v>37.146293333333332</v>
      </c>
      <c r="Y19">
        <v>4.2404444444444434E-3</v>
      </c>
    </row>
    <row r="20" spans="1:25" x14ac:dyDescent="0.25">
      <c r="A20" s="10">
        <v>1022</v>
      </c>
      <c r="B20" t="s">
        <v>10</v>
      </c>
      <c r="C20" t="s">
        <v>63</v>
      </c>
      <c r="D20">
        <v>4</v>
      </c>
      <c r="E20" t="s">
        <v>64</v>
      </c>
      <c r="F20" t="s">
        <v>40</v>
      </c>
      <c r="G20" t="s">
        <v>65</v>
      </c>
      <c r="H20" t="s">
        <v>66</v>
      </c>
      <c r="I20" t="s">
        <v>60</v>
      </c>
      <c r="J20">
        <v>62781</v>
      </c>
      <c r="K20" t="s">
        <v>14</v>
      </c>
      <c r="L20">
        <v>0.19077333333333341</v>
      </c>
      <c r="M20">
        <v>2.7253333333333331E-2</v>
      </c>
      <c r="N20">
        <v>1.880479999999999</v>
      </c>
      <c r="O20">
        <v>0.13626666666666659</v>
      </c>
      <c r="P20">
        <v>40.784613333333333</v>
      </c>
      <c r="Q20">
        <v>0.19077333333333341</v>
      </c>
      <c r="R20">
        <v>0.19077333333333341</v>
      </c>
      <c r="S20">
        <v>43.400933333333327</v>
      </c>
      <c r="T20">
        <v>53.083333333333343</v>
      </c>
      <c r="U20">
        <v>739.17974882260592</v>
      </c>
      <c r="V20">
        <v>84</v>
      </c>
      <c r="W20">
        <v>0.1189066666666667</v>
      </c>
      <c r="X20">
        <v>43.400933333333327</v>
      </c>
      <c r="Y20">
        <v>4.9544444444444436E-3</v>
      </c>
    </row>
    <row r="21" spans="1:25" x14ac:dyDescent="0.25">
      <c r="A21" s="10">
        <v>1023</v>
      </c>
      <c r="B21" t="s">
        <v>10</v>
      </c>
      <c r="C21" t="s">
        <v>63</v>
      </c>
      <c r="D21">
        <v>4</v>
      </c>
      <c r="E21" t="s">
        <v>64</v>
      </c>
      <c r="F21" t="s">
        <v>40</v>
      </c>
      <c r="G21" t="s">
        <v>65</v>
      </c>
      <c r="H21" t="s">
        <v>66</v>
      </c>
      <c r="I21" t="s">
        <v>61</v>
      </c>
      <c r="J21">
        <v>80040</v>
      </c>
      <c r="K21" t="s">
        <v>14</v>
      </c>
      <c r="L21">
        <v>0.2044</v>
      </c>
      <c r="M21">
        <v>2.7253333333333331E-2</v>
      </c>
      <c r="N21">
        <v>2.507306666666667</v>
      </c>
      <c r="O21">
        <v>0.16352</v>
      </c>
      <c r="P21">
        <v>60.107226666666662</v>
      </c>
      <c r="Q21">
        <v>0.43605333333333329</v>
      </c>
      <c r="R21">
        <v>0.27253333333333329</v>
      </c>
      <c r="S21">
        <v>63.718293333333342</v>
      </c>
      <c r="T21">
        <v>77.933333333333337</v>
      </c>
      <c r="U21">
        <v>641.89478186484166</v>
      </c>
      <c r="V21">
        <v>84</v>
      </c>
      <c r="W21">
        <v>0.17457066666666671</v>
      </c>
      <c r="X21">
        <v>63.718293333333342</v>
      </c>
      <c r="Y21">
        <v>7.2737777777777783E-3</v>
      </c>
    </row>
    <row r="22" spans="1:25" x14ac:dyDescent="0.25">
      <c r="A22" s="10">
        <v>1024</v>
      </c>
      <c r="B22" t="s">
        <v>10</v>
      </c>
      <c r="C22" t="s">
        <v>63</v>
      </c>
      <c r="D22">
        <v>4</v>
      </c>
      <c r="E22" t="s">
        <v>64</v>
      </c>
      <c r="F22" t="s">
        <v>40</v>
      </c>
      <c r="G22" t="s">
        <v>65</v>
      </c>
      <c r="H22" t="s">
        <v>66</v>
      </c>
      <c r="I22" t="s">
        <v>62</v>
      </c>
      <c r="J22">
        <v>83963</v>
      </c>
      <c r="K22" t="s">
        <v>14</v>
      </c>
      <c r="L22">
        <v>0.24528</v>
      </c>
      <c r="M22">
        <v>2.7253333333333331E-2</v>
      </c>
      <c r="N22">
        <v>2.1802666666666659</v>
      </c>
      <c r="O22">
        <v>0.16352</v>
      </c>
      <c r="P22">
        <v>71.390106666666668</v>
      </c>
      <c r="Q22">
        <v>0.72221333333333315</v>
      </c>
      <c r="R22">
        <v>0.25890666666666662</v>
      </c>
      <c r="S22">
        <v>74.987546666666674</v>
      </c>
      <c r="T22">
        <v>91.716666666666669</v>
      </c>
      <c r="U22">
        <v>572.16291113937848</v>
      </c>
      <c r="V22">
        <v>84</v>
      </c>
      <c r="W22">
        <v>0.20544533333333331</v>
      </c>
      <c r="X22">
        <v>74.98754666666666</v>
      </c>
      <c r="Y22">
        <v>8.5602222222222208E-3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workbookViewId="0">
      <selection activeCell="N14" sqref="N14"/>
    </sheetView>
  </sheetViews>
  <sheetFormatPr defaultRowHeight="15" x14ac:dyDescent="0.25"/>
  <cols>
    <col min="1" max="1" width="10.7109375" customWidth="1"/>
    <col min="2" max="2" width="10.42578125" customWidth="1"/>
    <col min="3" max="3" width="13.7109375" customWidth="1"/>
    <col min="4" max="4" width="9.42578125" customWidth="1"/>
    <col min="5" max="5" width="11" customWidth="1"/>
    <col min="6" max="6" width="9.42578125" customWidth="1"/>
    <col min="7" max="7" width="14.85546875" customWidth="1"/>
    <col min="8" max="8" width="9.28515625" customWidth="1"/>
    <col min="9" max="9" width="17.28515625" customWidth="1"/>
    <col min="10" max="10" width="14.85546875" customWidth="1"/>
    <col min="11" max="11" width="21.7109375" customWidth="1"/>
    <col min="12" max="12" width="10.42578125" customWidth="1"/>
    <col min="13" max="13" width="13.28515625" customWidth="1"/>
    <col min="14" max="14" width="12.5703125" customWidth="1"/>
    <col min="15" max="15" width="11" customWidth="1"/>
    <col min="16" max="16" width="28" customWidth="1"/>
    <col min="17" max="17" width="26" customWidth="1"/>
    <col min="18" max="18" width="16.7109375" customWidth="1"/>
    <col min="19" max="19" width="12" customWidth="1"/>
    <col min="20" max="20" width="14.140625" customWidth="1"/>
  </cols>
  <sheetData>
    <row r="1" spans="1:18" ht="60" x14ac:dyDescent="0.25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27</v>
      </c>
      <c r="J1" s="1" t="s">
        <v>8</v>
      </c>
      <c r="K1" s="1" t="s">
        <v>9</v>
      </c>
      <c r="L1" s="1" t="s">
        <v>16</v>
      </c>
      <c r="M1" s="1" t="s">
        <v>15</v>
      </c>
      <c r="N1" s="1" t="s">
        <v>24</v>
      </c>
      <c r="O1" s="1" t="s">
        <v>23</v>
      </c>
      <c r="P1" s="1" t="s">
        <v>7</v>
      </c>
      <c r="Q1" s="1" t="s">
        <v>28</v>
      </c>
      <c r="R1" s="1" t="s">
        <v>22</v>
      </c>
    </row>
    <row r="2" spans="1:18" x14ac:dyDescent="0.25">
      <c r="A2" s="7"/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5"/>
      <c r="O2" s="5"/>
      <c r="P2" s="5"/>
      <c r="Q2" s="5"/>
      <c r="R2" s="5"/>
    </row>
    <row r="3" spans="1:18" x14ac:dyDescent="0.25">
      <c r="A3" s="8">
        <v>1000</v>
      </c>
      <c r="B3" t="s">
        <v>10</v>
      </c>
      <c r="C3" t="s">
        <v>11</v>
      </c>
      <c r="D3">
        <v>8</v>
      </c>
      <c r="E3">
        <v>32</v>
      </c>
      <c r="F3" t="s">
        <v>12</v>
      </c>
      <c r="G3" t="s">
        <v>13</v>
      </c>
      <c r="H3" s="2">
        <v>0.33279999999999998</v>
      </c>
      <c r="I3" t="s">
        <v>17</v>
      </c>
      <c r="J3">
        <v>11000</v>
      </c>
      <c r="K3" t="s">
        <v>14</v>
      </c>
      <c r="L3">
        <v>24</v>
      </c>
      <c r="M3">
        <v>7</v>
      </c>
      <c r="N3" s="6">
        <f>Table14[[#This Row],[Catchments]]/Table14[[#This Row],[Cores]]/Table14[[#This Row],[Forcing Timesteps]]/Table14[[#This Row],[Total Runtime (minutes)]]*60</f>
        <v>491.0714285714285</v>
      </c>
      <c r="O3">
        <v>168</v>
      </c>
      <c r="P3" s="2">
        <f>Table14[[#This Row],[Cost/hr]]*Table14[[#This Row],[Total Runtime (minutes)]]/60</f>
        <v>3.8826666666666669E-2</v>
      </c>
      <c r="Q3" s="2" t="e">
        <f>Table14[[#This Row],[Daily Operating Cost]]/Table14[[#This Row],[Forcing Timesteps]]*Table14[[#This Row],[Catchments]]/#REF!</f>
        <v>#REF!</v>
      </c>
      <c r="R3" s="2">
        <f>817573/Table14[[#This Row],[Catchments]]*Table14[[#This Row],[Daily Operating Cost]]*365</f>
        <v>1053.3115033212123</v>
      </c>
    </row>
    <row r="4" spans="1:18" x14ac:dyDescent="0.25">
      <c r="A4" s="8">
        <v>1001</v>
      </c>
      <c r="B4" s="1" t="s">
        <v>10</v>
      </c>
      <c r="C4" t="s">
        <v>21</v>
      </c>
      <c r="D4">
        <v>96</v>
      </c>
      <c r="E4">
        <v>384</v>
      </c>
      <c r="F4" t="s">
        <v>12</v>
      </c>
      <c r="G4" t="s">
        <v>13</v>
      </c>
      <c r="H4" s="2">
        <v>2.88</v>
      </c>
      <c r="I4" t="s">
        <v>19</v>
      </c>
      <c r="J4">
        <v>800000</v>
      </c>
      <c r="K4" t="s">
        <v>20</v>
      </c>
      <c r="L4">
        <v>24</v>
      </c>
      <c r="M4">
        <f>4.5*60</f>
        <v>270</v>
      </c>
      <c r="N4" s="6">
        <f>Table14[[#This Row],[Catchments]]/Table14[[#This Row],[Cores]]/Table14[[#This Row],[Forcing Timesteps]]/Table14[[#This Row],[Total Runtime (minutes)]]*60</f>
        <v>77.160493827160494</v>
      </c>
      <c r="O4">
        <v>96</v>
      </c>
      <c r="P4" s="2">
        <f>Table14[[#This Row],[Cost/hr]]*Table14[[#This Row],[Total Runtime (minutes)]]/60</f>
        <v>12.96</v>
      </c>
      <c r="Q4" s="2" t="e">
        <f>Table14[[#This Row],[Daily Operating Cost]]/Table14[[#This Row],[Forcing Timesteps]]*Table14[[#This Row],[Catchments]]/#REF!</f>
        <v>#REF!</v>
      </c>
      <c r="R4" s="2">
        <f>817573/Table14[[#This Row],[Catchments]]*Table14[[#This Row],[Daily Operating Cost]]*365</f>
        <v>4834.3091490000006</v>
      </c>
    </row>
    <row r="5" spans="1:18" s="1" customFormat="1" x14ac:dyDescent="0.25">
      <c r="A5" s="8">
        <v>1002</v>
      </c>
      <c r="B5" t="s">
        <v>10</v>
      </c>
      <c r="C5" t="s">
        <v>18</v>
      </c>
      <c r="D5">
        <v>72</v>
      </c>
      <c r="E5">
        <v>192</v>
      </c>
      <c r="F5" t="s">
        <v>12</v>
      </c>
      <c r="G5" t="s">
        <v>13</v>
      </c>
      <c r="H5" s="2">
        <v>3.8879999999999999</v>
      </c>
      <c r="I5" t="s">
        <v>19</v>
      </c>
      <c r="J5">
        <v>800000</v>
      </c>
      <c r="K5" t="s">
        <v>20</v>
      </c>
      <c r="L5">
        <v>24</v>
      </c>
      <c r="M5">
        <f>10.5*60</f>
        <v>630</v>
      </c>
      <c r="N5" s="6">
        <f>Table14[[#This Row],[Catchments]]/Table14[[#This Row],[Cores]]/Table14[[#This Row],[Forcing Timesteps]]/Table14[[#This Row],[Total Runtime (minutes)]]*60</f>
        <v>44.091710758377424</v>
      </c>
      <c r="O5">
        <v>72</v>
      </c>
      <c r="P5" s="2">
        <f>Table14[[#This Row],[Cost/hr]]*Table14[[#This Row],[Total Runtime (minutes)]]/60</f>
        <v>40.823999999999998</v>
      </c>
      <c r="Q5" s="2" t="e">
        <f>Table14[[#This Row],[Daily Operating Cost]]/Table14[[#This Row],[Forcing Timesteps]]*Table14[[#This Row],[Catchments]]/#REF!</f>
        <v>#REF!</v>
      </c>
      <c r="R5" s="2">
        <f>817573/Table14[[#This Row],[Catchments]]*Table14[[#This Row],[Daily Operating Cost]]*365</f>
        <v>15228.073819349998</v>
      </c>
    </row>
    <row r="6" spans="1:18" x14ac:dyDescent="0.25">
      <c r="A6" s="8"/>
      <c r="B6" s="1"/>
      <c r="H6" s="2"/>
      <c r="N6" s="6"/>
      <c r="P6" s="2"/>
      <c r="Q6" s="2"/>
      <c r="R6" s="2"/>
    </row>
    <row r="7" spans="1:18" x14ac:dyDescent="0.25">
      <c r="A7" s="8"/>
      <c r="B7" s="1"/>
      <c r="H7" s="2"/>
      <c r="N7" s="6"/>
      <c r="P7" s="2"/>
      <c r="Q7" s="2"/>
      <c r="R7" s="2"/>
    </row>
    <row r="8" spans="1:18" x14ac:dyDescent="0.25">
      <c r="A8" s="8"/>
      <c r="B8" s="1"/>
      <c r="H8" s="2"/>
      <c r="N8" s="6"/>
      <c r="P8" s="2"/>
      <c r="Q8" s="2"/>
      <c r="R8" s="2"/>
    </row>
    <row r="9" spans="1:18" x14ac:dyDescent="0.25">
      <c r="A9" s="8"/>
      <c r="B9" s="1"/>
      <c r="H9" s="2"/>
      <c r="N9" s="6"/>
      <c r="P9" s="2"/>
      <c r="Q9" s="2"/>
      <c r="R9" s="2"/>
    </row>
    <row r="21" spans="8:8" x14ac:dyDescent="0.25">
      <c r="H21" s="9"/>
    </row>
    <row r="22" spans="8:8" x14ac:dyDescent="0.25">
      <c r="H22" s="9"/>
    </row>
    <row r="23" spans="8:8" x14ac:dyDescent="0.25">
      <c r="H23" s="9"/>
    </row>
    <row r="24" spans="8:8" x14ac:dyDescent="0.25">
      <c r="H24" s="9"/>
    </row>
    <row r="35" spans="8:8" x14ac:dyDescent="0.25">
      <c r="H35" s="9"/>
    </row>
    <row r="36" spans="8:8" x14ac:dyDescent="0.25">
      <c r="H36" s="9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2019_instance_test</vt:lpstr>
      <vt:lpstr>t4g.2xlarge_full</vt:lpstr>
      <vt:lpstr>t4g.2xlarge_lite</vt:lpstr>
      <vt:lpstr>t4g.xlarge_full</vt:lpstr>
      <vt:lpstr>x86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Laser</dc:creator>
  <cp:lastModifiedBy>Jordan Laser</cp:lastModifiedBy>
  <dcterms:created xsi:type="dcterms:W3CDTF">2024-03-18T19:13:44Z</dcterms:created>
  <dcterms:modified xsi:type="dcterms:W3CDTF">2024-04-26T16:49:12Z</dcterms:modified>
</cp:coreProperties>
</file>